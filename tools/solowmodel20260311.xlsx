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tz/Library/CloudStorage/Dropbox/Project/StudyGuide/solow/"/>
    </mc:Choice>
  </mc:AlternateContent>
  <xr:revisionPtr revIDLastSave="0" documentId="13_ncr:1_{FFB77B0D-607B-004F-9689-42761048642D}" xr6:coauthVersionLast="47" xr6:coauthVersionMax="47" xr10:uidLastSave="{00000000-0000-0000-0000-000000000000}"/>
  <bookViews>
    <workbookView xWindow="0" yWindow="660" windowWidth="29400" windowHeight="16660" xr2:uid="{766A9E66-545D-034F-944F-E69BE052E8C3}"/>
  </bookViews>
  <sheets>
    <sheet name="Solow Model" sheetId="1" r:id="rId1"/>
    <sheet name="Figur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N5" i="1"/>
  <c r="P5" i="1"/>
  <c r="Q5" i="1" s="1"/>
  <c r="S5" i="1" s="1"/>
  <c r="F6" i="1"/>
  <c r="N6" i="1" s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D6" i="1"/>
  <c r="C6" i="1"/>
  <c r="C7" i="1" s="1"/>
  <c r="B6" i="1"/>
  <c r="B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G5" i="1" l="1"/>
  <c r="T5" i="1"/>
  <c r="D7" i="1"/>
  <c r="D8" i="1" s="1"/>
  <c r="D9" i="1" s="1"/>
  <c r="D10" i="1" s="1"/>
  <c r="D11" i="1" s="1"/>
  <c r="D12" i="1" s="1"/>
  <c r="D13" i="1" s="1"/>
  <c r="D14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I6" i="1"/>
  <c r="I7" i="1" s="1"/>
  <c r="I8" i="1" s="1"/>
  <c r="I9" i="1" s="1"/>
  <c r="I10" i="1" s="1"/>
  <c r="I11" i="1" s="1"/>
  <c r="I12" i="1" s="1"/>
  <c r="I13" i="1" s="1"/>
  <c r="I14" i="1" s="1"/>
  <c r="F7" i="1"/>
  <c r="H6" i="1"/>
  <c r="H7" i="1" s="1"/>
  <c r="P6" i="1"/>
  <c r="B8" i="1"/>
  <c r="L5" i="1" l="1"/>
  <c r="M5" i="1" s="1"/>
  <c r="J5" i="1"/>
  <c r="K5" i="1" s="1"/>
  <c r="R5" i="1" s="1"/>
  <c r="I16" i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Q6" i="1"/>
  <c r="S6" i="1" s="1"/>
  <c r="T6" i="1"/>
  <c r="F8" i="1"/>
  <c r="N7" i="1"/>
  <c r="C8" i="1"/>
  <c r="P7" i="1"/>
  <c r="B9" i="1"/>
  <c r="G6" i="1" l="1"/>
  <c r="O5" i="1"/>
  <c r="Q7" i="1"/>
  <c r="S7" i="1" s="1"/>
  <c r="T7" i="1"/>
  <c r="F9" i="1"/>
  <c r="N8" i="1"/>
  <c r="H8" i="1"/>
  <c r="H9" i="1" s="1"/>
  <c r="C9" i="1"/>
  <c r="P8" i="1"/>
  <c r="B10" i="1"/>
  <c r="L6" i="1" l="1"/>
  <c r="M6" i="1" s="1"/>
  <c r="J6" i="1"/>
  <c r="K6" i="1" s="1"/>
  <c r="R6" i="1" s="1"/>
  <c r="Q8" i="1"/>
  <c r="S8" i="1" s="1"/>
  <c r="T8" i="1"/>
  <c r="F10" i="1"/>
  <c r="H10" i="1" s="1"/>
  <c r="N9" i="1"/>
  <c r="P9" i="1"/>
  <c r="C10" i="1"/>
  <c r="B11" i="1"/>
  <c r="G7" i="1" l="1"/>
  <c r="O6" i="1"/>
  <c r="Q9" i="1"/>
  <c r="S9" i="1" s="1"/>
  <c r="T9" i="1"/>
  <c r="F11" i="1"/>
  <c r="N10" i="1"/>
  <c r="H11" i="1"/>
  <c r="P10" i="1"/>
  <c r="C11" i="1"/>
  <c r="B12" i="1"/>
  <c r="L7" i="1" l="1"/>
  <c r="M7" i="1" s="1"/>
  <c r="J7" i="1"/>
  <c r="K7" i="1" s="1"/>
  <c r="R7" i="1" s="1"/>
  <c r="Q10" i="1"/>
  <c r="S10" i="1" s="1"/>
  <c r="T10" i="1"/>
  <c r="F12" i="1"/>
  <c r="N11" i="1"/>
  <c r="P11" i="1"/>
  <c r="C12" i="1"/>
  <c r="B13" i="1"/>
  <c r="G8" i="1" l="1"/>
  <c r="O7" i="1"/>
  <c r="Q11" i="1"/>
  <c r="S11" i="1" s="1"/>
  <c r="T11" i="1"/>
  <c r="F13" i="1"/>
  <c r="N12" i="1"/>
  <c r="H12" i="1"/>
  <c r="H13" i="1" s="1"/>
  <c r="P12" i="1"/>
  <c r="C13" i="1"/>
  <c r="B14" i="1"/>
  <c r="J8" i="1" l="1"/>
  <c r="K8" i="1" s="1"/>
  <c r="R8" i="1" s="1"/>
  <c r="L8" i="1"/>
  <c r="M8" i="1" s="1"/>
  <c r="Q12" i="1"/>
  <c r="S12" i="1" s="1"/>
  <c r="T12" i="1"/>
  <c r="F14" i="1"/>
  <c r="N13" i="1"/>
  <c r="P13" i="1"/>
  <c r="C14" i="1"/>
  <c r="B15" i="1"/>
  <c r="G9" i="1" l="1"/>
  <c r="O8" i="1"/>
  <c r="Q13" i="1"/>
  <c r="S13" i="1" s="1"/>
  <c r="T13" i="1"/>
  <c r="N14" i="1"/>
  <c r="H14" i="1"/>
  <c r="H15" i="1" s="1"/>
  <c r="P14" i="1"/>
  <c r="B16" i="1"/>
  <c r="L9" i="1" l="1"/>
  <c r="M9" i="1" s="1"/>
  <c r="J9" i="1"/>
  <c r="K9" i="1" s="1"/>
  <c r="R9" i="1" s="1"/>
  <c r="Q14" i="1"/>
  <c r="S14" i="1" s="1"/>
  <c r="T14" i="1"/>
  <c r="F16" i="1"/>
  <c r="N15" i="1"/>
  <c r="P15" i="1"/>
  <c r="C16" i="1"/>
  <c r="B17" i="1"/>
  <c r="G10" i="1" l="1"/>
  <c r="O9" i="1"/>
  <c r="Q15" i="1"/>
  <c r="S15" i="1" s="1"/>
  <c r="T15" i="1"/>
  <c r="F17" i="1"/>
  <c r="N16" i="1"/>
  <c r="H16" i="1"/>
  <c r="P16" i="1"/>
  <c r="C17" i="1"/>
  <c r="B18" i="1"/>
  <c r="J10" i="1" l="1"/>
  <c r="K10" i="1" s="1"/>
  <c r="R10" i="1" s="1"/>
  <c r="L10" i="1"/>
  <c r="M10" i="1" s="1"/>
  <c r="H17" i="1"/>
  <c r="Q16" i="1"/>
  <c r="S16" i="1" s="1"/>
  <c r="T16" i="1"/>
  <c r="F18" i="1"/>
  <c r="N17" i="1"/>
  <c r="P17" i="1"/>
  <c r="C18" i="1"/>
  <c r="B19" i="1"/>
  <c r="G11" i="1" l="1"/>
  <c r="O10" i="1"/>
  <c r="Q17" i="1"/>
  <c r="S17" i="1" s="1"/>
  <c r="T17" i="1"/>
  <c r="F19" i="1"/>
  <c r="N18" i="1"/>
  <c r="H18" i="1"/>
  <c r="H19" i="1" s="1"/>
  <c r="P18" i="1"/>
  <c r="C19" i="1"/>
  <c r="B20" i="1"/>
  <c r="L11" i="1" l="1"/>
  <c r="M11" i="1" s="1"/>
  <c r="J11" i="1"/>
  <c r="K11" i="1" s="1"/>
  <c r="R11" i="1" s="1"/>
  <c r="Q18" i="1"/>
  <c r="S18" i="1" s="1"/>
  <c r="T18" i="1"/>
  <c r="F20" i="1"/>
  <c r="N19" i="1"/>
  <c r="P19" i="1"/>
  <c r="C20" i="1"/>
  <c r="B21" i="1"/>
  <c r="G12" i="1" l="1"/>
  <c r="O11" i="1"/>
  <c r="Q19" i="1"/>
  <c r="S19" i="1" s="1"/>
  <c r="T19" i="1"/>
  <c r="F21" i="1"/>
  <c r="N20" i="1"/>
  <c r="H20" i="1"/>
  <c r="H21" i="1" s="1"/>
  <c r="P20" i="1"/>
  <c r="C21" i="1"/>
  <c r="B22" i="1"/>
  <c r="J12" i="1" l="1"/>
  <c r="K12" i="1" s="1"/>
  <c r="R12" i="1" s="1"/>
  <c r="L12" i="1"/>
  <c r="M12" i="1" s="1"/>
  <c r="Q20" i="1"/>
  <c r="S20" i="1" s="1"/>
  <c r="T20" i="1"/>
  <c r="F22" i="1"/>
  <c r="N21" i="1"/>
  <c r="P21" i="1"/>
  <c r="C22" i="1"/>
  <c r="B23" i="1"/>
  <c r="G13" i="1" l="1"/>
  <c r="O12" i="1"/>
  <c r="Q21" i="1"/>
  <c r="S21" i="1" s="1"/>
  <c r="T21" i="1"/>
  <c r="F23" i="1"/>
  <c r="N22" i="1"/>
  <c r="H22" i="1"/>
  <c r="H23" i="1" s="1"/>
  <c r="P22" i="1"/>
  <c r="C23" i="1"/>
  <c r="B24" i="1"/>
  <c r="J13" i="1" l="1"/>
  <c r="K13" i="1" s="1"/>
  <c r="R13" i="1" s="1"/>
  <c r="L13" i="1"/>
  <c r="M13" i="1" s="1"/>
  <c r="Q22" i="1"/>
  <c r="S22" i="1" s="1"/>
  <c r="T22" i="1"/>
  <c r="F24" i="1"/>
  <c r="N23" i="1"/>
  <c r="P23" i="1"/>
  <c r="C24" i="1"/>
  <c r="B25" i="1"/>
  <c r="G14" i="1" l="1"/>
  <c r="O13" i="1"/>
  <c r="Q23" i="1"/>
  <c r="S23" i="1" s="1"/>
  <c r="T23" i="1"/>
  <c r="F25" i="1"/>
  <c r="N24" i="1"/>
  <c r="H24" i="1"/>
  <c r="H25" i="1" s="1"/>
  <c r="P24" i="1"/>
  <c r="C25" i="1"/>
  <c r="B26" i="1"/>
  <c r="J14" i="1" l="1"/>
  <c r="K14" i="1" s="1"/>
  <c r="R14" i="1" s="1"/>
  <c r="L14" i="1"/>
  <c r="M14" i="1" s="1"/>
  <c r="Q24" i="1"/>
  <c r="S24" i="1" s="1"/>
  <c r="T24" i="1"/>
  <c r="F26" i="1"/>
  <c r="N25" i="1"/>
  <c r="P25" i="1"/>
  <c r="C26" i="1"/>
  <c r="B27" i="1"/>
  <c r="G15" i="1" l="1"/>
  <c r="O14" i="1"/>
  <c r="Q25" i="1"/>
  <c r="S25" i="1" s="1"/>
  <c r="T25" i="1"/>
  <c r="F27" i="1"/>
  <c r="N26" i="1"/>
  <c r="H26" i="1"/>
  <c r="H27" i="1" s="1"/>
  <c r="P26" i="1"/>
  <c r="C27" i="1"/>
  <c r="B28" i="1"/>
  <c r="L15" i="1" l="1"/>
  <c r="M15" i="1" s="1"/>
  <c r="J15" i="1"/>
  <c r="K15" i="1" s="1"/>
  <c r="R15" i="1" s="1"/>
  <c r="Q26" i="1"/>
  <c r="S26" i="1" s="1"/>
  <c r="T26" i="1"/>
  <c r="F28" i="1"/>
  <c r="N27" i="1"/>
  <c r="P27" i="1"/>
  <c r="C28" i="1"/>
  <c r="B29" i="1"/>
  <c r="G16" i="1" l="1"/>
  <c r="O15" i="1"/>
  <c r="Q27" i="1"/>
  <c r="S27" i="1" s="1"/>
  <c r="T27" i="1"/>
  <c r="F29" i="1"/>
  <c r="N28" i="1"/>
  <c r="H28" i="1"/>
  <c r="H29" i="1" s="1"/>
  <c r="P28" i="1"/>
  <c r="C29" i="1"/>
  <c r="B30" i="1"/>
  <c r="J16" i="1" l="1"/>
  <c r="K16" i="1" s="1"/>
  <c r="R16" i="1" s="1"/>
  <c r="L16" i="1"/>
  <c r="M16" i="1" s="1"/>
  <c r="Q28" i="1"/>
  <c r="S28" i="1" s="1"/>
  <c r="T28" i="1"/>
  <c r="F30" i="1"/>
  <c r="N29" i="1"/>
  <c r="P29" i="1"/>
  <c r="C30" i="1"/>
  <c r="B31" i="1"/>
  <c r="G17" i="1" l="1"/>
  <c r="O16" i="1"/>
  <c r="Q29" i="1"/>
  <c r="S29" i="1" s="1"/>
  <c r="T29" i="1"/>
  <c r="F31" i="1"/>
  <c r="N30" i="1"/>
  <c r="H30" i="1"/>
  <c r="P30" i="1"/>
  <c r="C31" i="1"/>
  <c r="B32" i="1"/>
  <c r="H31" i="1" l="1"/>
  <c r="L17" i="1"/>
  <c r="M17" i="1" s="1"/>
  <c r="J17" i="1"/>
  <c r="K17" i="1" s="1"/>
  <c r="R17" i="1" s="1"/>
  <c r="Q30" i="1"/>
  <c r="S30" i="1" s="1"/>
  <c r="T30" i="1"/>
  <c r="F32" i="1"/>
  <c r="N31" i="1"/>
  <c r="P31" i="1"/>
  <c r="C32" i="1"/>
  <c r="B33" i="1"/>
  <c r="G18" i="1" l="1"/>
  <c r="O17" i="1"/>
  <c r="Q31" i="1"/>
  <c r="S31" i="1" s="1"/>
  <c r="T31" i="1"/>
  <c r="F33" i="1"/>
  <c r="N32" i="1"/>
  <c r="H32" i="1"/>
  <c r="H33" i="1" s="1"/>
  <c r="P32" i="1"/>
  <c r="C33" i="1"/>
  <c r="B34" i="1"/>
  <c r="J18" i="1" l="1"/>
  <c r="K18" i="1" s="1"/>
  <c r="R18" i="1" s="1"/>
  <c r="L18" i="1"/>
  <c r="M18" i="1" s="1"/>
  <c r="Q32" i="1"/>
  <c r="S32" i="1" s="1"/>
  <c r="T32" i="1"/>
  <c r="F34" i="1"/>
  <c r="N33" i="1"/>
  <c r="P33" i="1"/>
  <c r="C34" i="1"/>
  <c r="B35" i="1"/>
  <c r="G19" i="1" l="1"/>
  <c r="O18" i="1"/>
  <c r="Q33" i="1"/>
  <c r="S33" i="1" s="1"/>
  <c r="T33" i="1"/>
  <c r="F35" i="1"/>
  <c r="N34" i="1"/>
  <c r="H34" i="1"/>
  <c r="P34" i="1"/>
  <c r="C35" i="1"/>
  <c r="B36" i="1"/>
  <c r="J19" i="1" l="1"/>
  <c r="K19" i="1" s="1"/>
  <c r="R19" i="1" s="1"/>
  <c r="L19" i="1"/>
  <c r="M19" i="1" s="1"/>
  <c r="H35" i="1"/>
  <c r="Q34" i="1"/>
  <c r="S34" i="1" s="1"/>
  <c r="T34" i="1"/>
  <c r="F36" i="1"/>
  <c r="N35" i="1"/>
  <c r="P35" i="1"/>
  <c r="C36" i="1"/>
  <c r="B37" i="1"/>
  <c r="G20" i="1" l="1"/>
  <c r="O19" i="1"/>
  <c r="Q35" i="1"/>
  <c r="S35" i="1" s="1"/>
  <c r="T35" i="1"/>
  <c r="F37" i="1"/>
  <c r="N36" i="1"/>
  <c r="H36" i="1"/>
  <c r="H37" i="1" s="1"/>
  <c r="P36" i="1"/>
  <c r="C37" i="1"/>
  <c r="B38" i="1"/>
  <c r="J20" i="1" l="1"/>
  <c r="K20" i="1" s="1"/>
  <c r="R20" i="1" s="1"/>
  <c r="L20" i="1"/>
  <c r="M20" i="1" s="1"/>
  <c r="Q36" i="1"/>
  <c r="S36" i="1" s="1"/>
  <c r="T36" i="1"/>
  <c r="F38" i="1"/>
  <c r="N37" i="1"/>
  <c r="P37" i="1"/>
  <c r="C38" i="1"/>
  <c r="B39" i="1"/>
  <c r="G21" i="1" l="1"/>
  <c r="O20" i="1"/>
  <c r="Q37" i="1"/>
  <c r="S37" i="1" s="1"/>
  <c r="T37" i="1"/>
  <c r="F39" i="1"/>
  <c r="N38" i="1"/>
  <c r="H38" i="1"/>
  <c r="H39" i="1" s="1"/>
  <c r="P38" i="1"/>
  <c r="C39" i="1"/>
  <c r="B40" i="1"/>
  <c r="J21" i="1" l="1"/>
  <c r="K21" i="1" s="1"/>
  <c r="R21" i="1" s="1"/>
  <c r="L21" i="1"/>
  <c r="M21" i="1" s="1"/>
  <c r="Q38" i="1"/>
  <c r="S38" i="1" s="1"/>
  <c r="T38" i="1"/>
  <c r="F40" i="1"/>
  <c r="N39" i="1"/>
  <c r="P39" i="1"/>
  <c r="C40" i="1"/>
  <c r="B41" i="1"/>
  <c r="G22" i="1" l="1"/>
  <c r="O21" i="1"/>
  <c r="Q39" i="1"/>
  <c r="S39" i="1" s="1"/>
  <c r="T39" i="1"/>
  <c r="F41" i="1"/>
  <c r="N40" i="1"/>
  <c r="H40" i="1"/>
  <c r="H41" i="1" s="1"/>
  <c r="P40" i="1"/>
  <c r="C41" i="1"/>
  <c r="B42" i="1"/>
  <c r="J22" i="1" l="1"/>
  <c r="K22" i="1" s="1"/>
  <c r="R22" i="1" s="1"/>
  <c r="L22" i="1"/>
  <c r="M22" i="1" s="1"/>
  <c r="Q40" i="1"/>
  <c r="S40" i="1" s="1"/>
  <c r="T40" i="1"/>
  <c r="F42" i="1"/>
  <c r="N41" i="1"/>
  <c r="P41" i="1"/>
  <c r="C42" i="1"/>
  <c r="B43" i="1"/>
  <c r="G23" i="1" l="1"/>
  <c r="O22" i="1"/>
  <c r="Q41" i="1"/>
  <c r="S41" i="1" s="1"/>
  <c r="T41" i="1"/>
  <c r="F43" i="1"/>
  <c r="N42" i="1"/>
  <c r="H42" i="1"/>
  <c r="P42" i="1"/>
  <c r="C43" i="1"/>
  <c r="B44" i="1"/>
  <c r="H43" i="1" l="1"/>
  <c r="J23" i="1"/>
  <c r="K23" i="1" s="1"/>
  <c r="R23" i="1" s="1"/>
  <c r="L23" i="1"/>
  <c r="M23" i="1" s="1"/>
  <c r="Q42" i="1"/>
  <c r="S42" i="1" s="1"/>
  <c r="T42" i="1"/>
  <c r="F44" i="1"/>
  <c r="N43" i="1"/>
  <c r="P43" i="1"/>
  <c r="C44" i="1"/>
  <c r="B45" i="1"/>
  <c r="G24" i="1" l="1"/>
  <c r="O23" i="1"/>
  <c r="Q43" i="1"/>
  <c r="S43" i="1" s="1"/>
  <c r="T43" i="1"/>
  <c r="F45" i="1"/>
  <c r="N44" i="1"/>
  <c r="H44" i="1"/>
  <c r="P44" i="1"/>
  <c r="C45" i="1"/>
  <c r="B46" i="1"/>
  <c r="J24" i="1" l="1"/>
  <c r="K24" i="1" s="1"/>
  <c r="R24" i="1" s="1"/>
  <c r="L24" i="1"/>
  <c r="M24" i="1" s="1"/>
  <c r="H45" i="1"/>
  <c r="Q44" i="1"/>
  <c r="S44" i="1" s="1"/>
  <c r="T44" i="1"/>
  <c r="F46" i="1"/>
  <c r="N45" i="1"/>
  <c r="P45" i="1"/>
  <c r="C46" i="1"/>
  <c r="B47" i="1"/>
  <c r="G25" i="1" l="1"/>
  <c r="O24" i="1"/>
  <c r="Q45" i="1"/>
  <c r="S45" i="1" s="1"/>
  <c r="T45" i="1"/>
  <c r="F47" i="1"/>
  <c r="N46" i="1"/>
  <c r="H46" i="1"/>
  <c r="P46" i="1"/>
  <c r="C47" i="1"/>
  <c r="B48" i="1"/>
  <c r="H47" i="1" l="1"/>
  <c r="J25" i="1"/>
  <c r="K25" i="1" s="1"/>
  <c r="R25" i="1" s="1"/>
  <c r="L25" i="1"/>
  <c r="M25" i="1" s="1"/>
  <c r="Q46" i="1"/>
  <c r="S46" i="1" s="1"/>
  <c r="T46" i="1"/>
  <c r="F48" i="1"/>
  <c r="N47" i="1"/>
  <c r="P47" i="1"/>
  <c r="C48" i="1"/>
  <c r="B49" i="1"/>
  <c r="G26" i="1" l="1"/>
  <c r="O25" i="1"/>
  <c r="Q47" i="1"/>
  <c r="S47" i="1" s="1"/>
  <c r="T47" i="1"/>
  <c r="F49" i="1"/>
  <c r="N48" i="1"/>
  <c r="H48" i="1"/>
  <c r="H49" i="1" s="1"/>
  <c r="P48" i="1"/>
  <c r="C49" i="1"/>
  <c r="B50" i="1"/>
  <c r="L26" i="1" l="1"/>
  <c r="M26" i="1" s="1"/>
  <c r="J26" i="1"/>
  <c r="K26" i="1" s="1"/>
  <c r="R26" i="1" s="1"/>
  <c r="Q48" i="1"/>
  <c r="S48" i="1" s="1"/>
  <c r="T48" i="1"/>
  <c r="F50" i="1"/>
  <c r="N49" i="1"/>
  <c r="P49" i="1"/>
  <c r="C50" i="1"/>
  <c r="B51" i="1"/>
  <c r="G27" i="1" l="1"/>
  <c r="O26" i="1"/>
  <c r="Q49" i="1"/>
  <c r="S49" i="1" s="1"/>
  <c r="T49" i="1"/>
  <c r="F51" i="1"/>
  <c r="N50" i="1"/>
  <c r="H50" i="1"/>
  <c r="H51" i="1" s="1"/>
  <c r="P50" i="1"/>
  <c r="C51" i="1"/>
  <c r="B52" i="1"/>
  <c r="J27" i="1" l="1"/>
  <c r="K27" i="1" s="1"/>
  <c r="R27" i="1" s="1"/>
  <c r="L27" i="1"/>
  <c r="M27" i="1" s="1"/>
  <c r="Q50" i="1"/>
  <c r="S50" i="1" s="1"/>
  <c r="T50" i="1"/>
  <c r="F52" i="1"/>
  <c r="N51" i="1"/>
  <c r="P51" i="1"/>
  <c r="C52" i="1"/>
  <c r="B53" i="1"/>
  <c r="G28" i="1" l="1"/>
  <c r="O27" i="1"/>
  <c r="Q51" i="1"/>
  <c r="S51" i="1" s="1"/>
  <c r="T51" i="1"/>
  <c r="F53" i="1"/>
  <c r="N52" i="1"/>
  <c r="H52" i="1"/>
  <c r="P52" i="1"/>
  <c r="T52" i="1" s="1"/>
  <c r="C53" i="1"/>
  <c r="B54" i="1"/>
  <c r="J28" i="1" l="1"/>
  <c r="K28" i="1" s="1"/>
  <c r="R28" i="1" s="1"/>
  <c r="L28" i="1"/>
  <c r="M28" i="1" s="1"/>
  <c r="H53" i="1"/>
  <c r="Q52" i="1"/>
  <c r="S52" i="1" s="1"/>
  <c r="F54" i="1"/>
  <c r="H54" i="1" s="1"/>
  <c r="N53" i="1"/>
  <c r="P53" i="1"/>
  <c r="C54" i="1"/>
  <c r="B55" i="1"/>
  <c r="G29" i="1" l="1"/>
  <c r="O28" i="1"/>
  <c r="Q53" i="1"/>
  <c r="S53" i="1" s="1"/>
  <c r="T53" i="1"/>
  <c r="F55" i="1"/>
  <c r="N54" i="1"/>
  <c r="P54" i="1"/>
  <c r="C55" i="1"/>
  <c r="B56" i="1"/>
  <c r="L29" i="1" l="1"/>
  <c r="M29" i="1" s="1"/>
  <c r="J29" i="1"/>
  <c r="K29" i="1" s="1"/>
  <c r="R29" i="1" s="1"/>
  <c r="Q54" i="1"/>
  <c r="S54" i="1" s="1"/>
  <c r="T54" i="1"/>
  <c r="F56" i="1"/>
  <c r="N55" i="1"/>
  <c r="H55" i="1"/>
  <c r="H56" i="1" s="1"/>
  <c r="P55" i="1"/>
  <c r="T55" i="1" s="1"/>
  <c r="C56" i="1"/>
  <c r="B57" i="1"/>
  <c r="G30" i="1" l="1"/>
  <c r="O29" i="1"/>
  <c r="Q55" i="1"/>
  <c r="S55" i="1" s="1"/>
  <c r="F57" i="1"/>
  <c r="N56" i="1"/>
  <c r="P56" i="1"/>
  <c r="C57" i="1"/>
  <c r="B58" i="1"/>
  <c r="L30" i="1" l="1"/>
  <c r="M30" i="1" s="1"/>
  <c r="J30" i="1"/>
  <c r="K30" i="1" s="1"/>
  <c r="R30" i="1" s="1"/>
  <c r="Q56" i="1"/>
  <c r="S56" i="1" s="1"/>
  <c r="T56" i="1"/>
  <c r="F58" i="1"/>
  <c r="N57" i="1"/>
  <c r="H57" i="1"/>
  <c r="H58" i="1" s="1"/>
  <c r="P57" i="1"/>
  <c r="C58" i="1"/>
  <c r="B59" i="1"/>
  <c r="G31" i="1" l="1"/>
  <c r="O30" i="1"/>
  <c r="Q57" i="1"/>
  <c r="S57" i="1" s="1"/>
  <c r="T57" i="1"/>
  <c r="F59" i="1"/>
  <c r="N58" i="1"/>
  <c r="P58" i="1"/>
  <c r="C59" i="1"/>
  <c r="B60" i="1"/>
  <c r="J31" i="1" l="1"/>
  <c r="K31" i="1" s="1"/>
  <c r="R31" i="1" s="1"/>
  <c r="L31" i="1"/>
  <c r="M31" i="1" s="1"/>
  <c r="Q58" i="1"/>
  <c r="S58" i="1" s="1"/>
  <c r="T58" i="1"/>
  <c r="F60" i="1"/>
  <c r="N59" i="1"/>
  <c r="H59" i="1"/>
  <c r="H60" i="1" s="1"/>
  <c r="P59" i="1"/>
  <c r="C60" i="1"/>
  <c r="B61" i="1"/>
  <c r="G32" i="1" l="1"/>
  <c r="O31" i="1"/>
  <c r="Q59" i="1"/>
  <c r="S59" i="1" s="1"/>
  <c r="T59" i="1"/>
  <c r="F61" i="1"/>
  <c r="N60" i="1"/>
  <c r="P60" i="1"/>
  <c r="C61" i="1"/>
  <c r="B62" i="1"/>
  <c r="L32" i="1" l="1"/>
  <c r="M32" i="1" s="1"/>
  <c r="J32" i="1"/>
  <c r="K32" i="1" s="1"/>
  <c r="R32" i="1" s="1"/>
  <c r="Q60" i="1"/>
  <c r="S60" i="1" s="1"/>
  <c r="T60" i="1"/>
  <c r="F62" i="1"/>
  <c r="N61" i="1"/>
  <c r="H61" i="1"/>
  <c r="P61" i="1"/>
  <c r="C62" i="1"/>
  <c r="B63" i="1"/>
  <c r="G33" i="1" l="1"/>
  <c r="O32" i="1"/>
  <c r="H62" i="1"/>
  <c r="Q61" i="1"/>
  <c r="S61" i="1" s="1"/>
  <c r="T61" i="1"/>
  <c r="F63" i="1"/>
  <c r="N62" i="1"/>
  <c r="P62" i="1"/>
  <c r="C63" i="1"/>
  <c r="B64" i="1"/>
  <c r="L33" i="1" l="1"/>
  <c r="M33" i="1" s="1"/>
  <c r="J33" i="1"/>
  <c r="K33" i="1" s="1"/>
  <c r="R33" i="1" s="1"/>
  <c r="Q62" i="1"/>
  <c r="S62" i="1" s="1"/>
  <c r="T62" i="1"/>
  <c r="F64" i="1"/>
  <c r="N63" i="1"/>
  <c r="H63" i="1"/>
  <c r="H64" i="1" s="1"/>
  <c r="P63" i="1"/>
  <c r="T63" i="1" s="1"/>
  <c r="C64" i="1"/>
  <c r="B65" i="1"/>
  <c r="G34" i="1" l="1"/>
  <c r="O33" i="1"/>
  <c r="Q63" i="1"/>
  <c r="S63" i="1" s="1"/>
  <c r="F65" i="1"/>
  <c r="N64" i="1"/>
  <c r="P64" i="1"/>
  <c r="C65" i="1"/>
  <c r="B66" i="1"/>
  <c r="L34" i="1" l="1"/>
  <c r="M34" i="1" s="1"/>
  <c r="J34" i="1"/>
  <c r="K34" i="1" s="1"/>
  <c r="R34" i="1" s="1"/>
  <c r="Q64" i="1"/>
  <c r="S64" i="1" s="1"/>
  <c r="T64" i="1"/>
  <c r="F66" i="1"/>
  <c r="N65" i="1"/>
  <c r="H65" i="1"/>
  <c r="H66" i="1" s="1"/>
  <c r="P65" i="1"/>
  <c r="C66" i="1"/>
  <c r="B67" i="1"/>
  <c r="G35" i="1" l="1"/>
  <c r="O34" i="1"/>
  <c r="Q65" i="1"/>
  <c r="S65" i="1" s="1"/>
  <c r="T65" i="1"/>
  <c r="F67" i="1"/>
  <c r="N66" i="1"/>
  <c r="P66" i="1"/>
  <c r="C67" i="1"/>
  <c r="B68" i="1"/>
  <c r="J35" i="1" l="1"/>
  <c r="K35" i="1" s="1"/>
  <c r="R35" i="1" s="1"/>
  <c r="L35" i="1"/>
  <c r="M35" i="1" s="1"/>
  <c r="Q66" i="1"/>
  <c r="S66" i="1" s="1"/>
  <c r="T66" i="1"/>
  <c r="F68" i="1"/>
  <c r="N67" i="1"/>
  <c r="H67" i="1"/>
  <c r="H68" i="1" s="1"/>
  <c r="P67" i="1"/>
  <c r="C68" i="1"/>
  <c r="B69" i="1"/>
  <c r="G36" i="1" l="1"/>
  <c r="O35" i="1"/>
  <c r="Q67" i="1"/>
  <c r="S67" i="1" s="1"/>
  <c r="T67" i="1"/>
  <c r="F69" i="1"/>
  <c r="N68" i="1"/>
  <c r="P68" i="1"/>
  <c r="C69" i="1"/>
  <c r="B70" i="1"/>
  <c r="J36" i="1" l="1"/>
  <c r="K36" i="1" s="1"/>
  <c r="R36" i="1" s="1"/>
  <c r="L36" i="1"/>
  <c r="M36" i="1" s="1"/>
  <c r="Q68" i="1"/>
  <c r="S68" i="1" s="1"/>
  <c r="T68" i="1"/>
  <c r="F70" i="1"/>
  <c r="N69" i="1"/>
  <c r="H69" i="1"/>
  <c r="H70" i="1" s="1"/>
  <c r="P69" i="1"/>
  <c r="C70" i="1"/>
  <c r="B71" i="1"/>
  <c r="G37" i="1" l="1"/>
  <c r="O36" i="1"/>
  <c r="Q69" i="1"/>
  <c r="S69" i="1" s="1"/>
  <c r="T69" i="1"/>
  <c r="F71" i="1"/>
  <c r="N70" i="1"/>
  <c r="P70" i="1"/>
  <c r="C71" i="1"/>
  <c r="B72" i="1"/>
  <c r="L37" i="1" l="1"/>
  <c r="M37" i="1" s="1"/>
  <c r="J37" i="1"/>
  <c r="K37" i="1" s="1"/>
  <c r="R37" i="1" s="1"/>
  <c r="Q70" i="1"/>
  <c r="S70" i="1" s="1"/>
  <c r="T70" i="1"/>
  <c r="F72" i="1"/>
  <c r="N71" i="1"/>
  <c r="H71" i="1"/>
  <c r="H72" i="1" s="1"/>
  <c r="P71" i="1"/>
  <c r="C72" i="1"/>
  <c r="B73" i="1"/>
  <c r="G38" i="1" l="1"/>
  <c r="O37" i="1"/>
  <c r="Q71" i="1"/>
  <c r="S71" i="1" s="1"/>
  <c r="T71" i="1"/>
  <c r="F73" i="1"/>
  <c r="N72" i="1"/>
  <c r="P72" i="1"/>
  <c r="C73" i="1"/>
  <c r="B74" i="1"/>
  <c r="J38" i="1" l="1"/>
  <c r="K38" i="1" s="1"/>
  <c r="R38" i="1" s="1"/>
  <c r="L38" i="1"/>
  <c r="M38" i="1" s="1"/>
  <c r="Q72" i="1"/>
  <c r="S72" i="1" s="1"/>
  <c r="T72" i="1"/>
  <c r="F74" i="1"/>
  <c r="N73" i="1"/>
  <c r="H73" i="1"/>
  <c r="H74" i="1" s="1"/>
  <c r="P73" i="1"/>
  <c r="C74" i="1"/>
  <c r="B75" i="1"/>
  <c r="G39" i="1" l="1"/>
  <c r="O38" i="1"/>
  <c r="Q73" i="1"/>
  <c r="S73" i="1" s="1"/>
  <c r="T73" i="1"/>
  <c r="F75" i="1"/>
  <c r="N74" i="1"/>
  <c r="P74" i="1"/>
  <c r="C75" i="1"/>
  <c r="B76" i="1"/>
  <c r="J39" i="1" l="1"/>
  <c r="K39" i="1" s="1"/>
  <c r="R39" i="1" s="1"/>
  <c r="L39" i="1"/>
  <c r="M39" i="1" s="1"/>
  <c r="Q74" i="1"/>
  <c r="S74" i="1" s="1"/>
  <c r="T74" i="1"/>
  <c r="F76" i="1"/>
  <c r="N75" i="1"/>
  <c r="H75" i="1"/>
  <c r="H76" i="1" s="1"/>
  <c r="P75" i="1"/>
  <c r="T75" i="1" s="1"/>
  <c r="C76" i="1"/>
  <c r="B77" i="1"/>
  <c r="G40" i="1" l="1"/>
  <c r="O39" i="1"/>
  <c r="Q75" i="1"/>
  <c r="S75" i="1" s="1"/>
  <c r="F77" i="1"/>
  <c r="N76" i="1"/>
  <c r="P76" i="1"/>
  <c r="C77" i="1"/>
  <c r="B78" i="1"/>
  <c r="L40" i="1" l="1"/>
  <c r="M40" i="1" s="1"/>
  <c r="J40" i="1"/>
  <c r="K40" i="1" s="1"/>
  <c r="R40" i="1" s="1"/>
  <c r="Q76" i="1"/>
  <c r="S76" i="1" s="1"/>
  <c r="T76" i="1"/>
  <c r="F78" i="1"/>
  <c r="N77" i="1"/>
  <c r="H77" i="1"/>
  <c r="H78" i="1" s="1"/>
  <c r="P77" i="1"/>
  <c r="T77" i="1" s="1"/>
  <c r="C78" i="1"/>
  <c r="B79" i="1"/>
  <c r="G41" i="1" l="1"/>
  <c r="O40" i="1"/>
  <c r="Q77" i="1"/>
  <c r="S77" i="1" s="1"/>
  <c r="F79" i="1"/>
  <c r="N78" i="1"/>
  <c r="P78" i="1"/>
  <c r="C79" i="1"/>
  <c r="B80" i="1"/>
  <c r="L41" i="1" l="1"/>
  <c r="M41" i="1" s="1"/>
  <c r="J41" i="1"/>
  <c r="K41" i="1" s="1"/>
  <c r="R41" i="1" s="1"/>
  <c r="Q78" i="1"/>
  <c r="S78" i="1" s="1"/>
  <c r="T78" i="1"/>
  <c r="F80" i="1"/>
  <c r="N79" i="1"/>
  <c r="H79" i="1"/>
  <c r="H80" i="1" s="1"/>
  <c r="P79" i="1"/>
  <c r="C80" i="1"/>
  <c r="B81" i="1"/>
  <c r="G42" i="1" l="1"/>
  <c r="O41" i="1"/>
  <c r="Q79" i="1"/>
  <c r="S79" i="1" s="1"/>
  <c r="T79" i="1"/>
  <c r="F81" i="1"/>
  <c r="N80" i="1"/>
  <c r="P80" i="1"/>
  <c r="C81" i="1"/>
  <c r="B82" i="1"/>
  <c r="J42" i="1" l="1"/>
  <c r="K42" i="1" s="1"/>
  <c r="R42" i="1" s="1"/>
  <c r="L42" i="1"/>
  <c r="M42" i="1" s="1"/>
  <c r="Q80" i="1"/>
  <c r="S80" i="1" s="1"/>
  <c r="T80" i="1"/>
  <c r="F82" i="1"/>
  <c r="N81" i="1"/>
  <c r="H81" i="1"/>
  <c r="P81" i="1"/>
  <c r="C82" i="1"/>
  <c r="B83" i="1"/>
  <c r="H82" i="1" l="1"/>
  <c r="G43" i="1"/>
  <c r="O42" i="1"/>
  <c r="Q81" i="1"/>
  <c r="S81" i="1" s="1"/>
  <c r="T81" i="1"/>
  <c r="F83" i="1"/>
  <c r="N82" i="1"/>
  <c r="P82" i="1"/>
  <c r="C83" i="1"/>
  <c r="B84" i="1"/>
  <c r="J43" i="1" l="1"/>
  <c r="K43" i="1" s="1"/>
  <c r="R43" i="1" s="1"/>
  <c r="L43" i="1"/>
  <c r="M43" i="1" s="1"/>
  <c r="Q82" i="1"/>
  <c r="S82" i="1" s="1"/>
  <c r="T82" i="1"/>
  <c r="F84" i="1"/>
  <c r="N83" i="1"/>
  <c r="H83" i="1"/>
  <c r="H84" i="1" s="1"/>
  <c r="P83" i="1"/>
  <c r="T83" i="1" s="1"/>
  <c r="C84" i="1"/>
  <c r="B85" i="1"/>
  <c r="G44" i="1" l="1"/>
  <c r="O43" i="1"/>
  <c r="Q83" i="1"/>
  <c r="S83" i="1" s="1"/>
  <c r="F85" i="1"/>
  <c r="N84" i="1"/>
  <c r="P84" i="1"/>
  <c r="C85" i="1"/>
  <c r="B86" i="1"/>
  <c r="L44" i="1" l="1"/>
  <c r="M44" i="1" s="1"/>
  <c r="J44" i="1"/>
  <c r="K44" i="1" s="1"/>
  <c r="R44" i="1" s="1"/>
  <c r="Q84" i="1"/>
  <c r="S84" i="1" s="1"/>
  <c r="T84" i="1"/>
  <c r="F86" i="1"/>
  <c r="N85" i="1"/>
  <c r="H85" i="1"/>
  <c r="H86" i="1" s="1"/>
  <c r="P85" i="1"/>
  <c r="T85" i="1" s="1"/>
  <c r="C86" i="1"/>
  <c r="B87" i="1"/>
  <c r="G45" i="1" l="1"/>
  <c r="O44" i="1"/>
  <c r="Q85" i="1"/>
  <c r="S85" i="1" s="1"/>
  <c r="F87" i="1"/>
  <c r="N86" i="1"/>
  <c r="P86" i="1"/>
  <c r="C87" i="1"/>
  <c r="B88" i="1"/>
  <c r="J45" i="1" l="1"/>
  <c r="K45" i="1" s="1"/>
  <c r="R45" i="1" s="1"/>
  <c r="L45" i="1"/>
  <c r="M45" i="1" s="1"/>
  <c r="Q86" i="1"/>
  <c r="S86" i="1" s="1"/>
  <c r="T86" i="1"/>
  <c r="F88" i="1"/>
  <c r="N87" i="1"/>
  <c r="H87" i="1"/>
  <c r="P87" i="1"/>
  <c r="C88" i="1"/>
  <c r="B89" i="1"/>
  <c r="G46" i="1" l="1"/>
  <c r="O45" i="1"/>
  <c r="Q87" i="1"/>
  <c r="S87" i="1" s="1"/>
  <c r="T87" i="1"/>
  <c r="H88" i="1"/>
  <c r="F89" i="1"/>
  <c r="N88" i="1"/>
  <c r="P88" i="1"/>
  <c r="C89" i="1"/>
  <c r="B90" i="1"/>
  <c r="J46" i="1" l="1"/>
  <c r="K46" i="1" s="1"/>
  <c r="R46" i="1" s="1"/>
  <c r="L46" i="1"/>
  <c r="M46" i="1" s="1"/>
  <c r="Q88" i="1"/>
  <c r="S88" i="1" s="1"/>
  <c r="T88" i="1"/>
  <c r="F90" i="1"/>
  <c r="N89" i="1"/>
  <c r="H89" i="1"/>
  <c r="H90" i="1" s="1"/>
  <c r="P89" i="1"/>
  <c r="C90" i="1"/>
  <c r="B91" i="1"/>
  <c r="G47" i="1" l="1"/>
  <c r="O46" i="1"/>
  <c r="Q89" i="1"/>
  <c r="S89" i="1" s="1"/>
  <c r="T89" i="1"/>
  <c r="F91" i="1"/>
  <c r="N90" i="1"/>
  <c r="P90" i="1"/>
  <c r="C91" i="1"/>
  <c r="B92" i="1"/>
  <c r="J47" i="1" l="1"/>
  <c r="K47" i="1" s="1"/>
  <c r="R47" i="1" s="1"/>
  <c r="L47" i="1"/>
  <c r="M47" i="1" s="1"/>
  <c r="Q90" i="1"/>
  <c r="S90" i="1" s="1"/>
  <c r="T90" i="1"/>
  <c r="F92" i="1"/>
  <c r="N91" i="1"/>
  <c r="H91" i="1"/>
  <c r="H92" i="1" s="1"/>
  <c r="P91" i="1"/>
  <c r="C92" i="1"/>
  <c r="B93" i="1"/>
  <c r="G48" i="1" l="1"/>
  <c r="O47" i="1"/>
  <c r="Q91" i="1"/>
  <c r="S91" i="1" s="1"/>
  <c r="T91" i="1"/>
  <c r="F93" i="1"/>
  <c r="N92" i="1"/>
  <c r="P92" i="1"/>
  <c r="C93" i="1"/>
  <c r="B94" i="1"/>
  <c r="L48" i="1" l="1"/>
  <c r="M48" i="1" s="1"/>
  <c r="J48" i="1"/>
  <c r="K48" i="1" s="1"/>
  <c r="R48" i="1" s="1"/>
  <c r="Q92" i="1"/>
  <c r="S92" i="1" s="1"/>
  <c r="T92" i="1"/>
  <c r="F94" i="1"/>
  <c r="N93" i="1"/>
  <c r="H93" i="1"/>
  <c r="H94" i="1" s="1"/>
  <c r="P93" i="1"/>
  <c r="T93" i="1" s="1"/>
  <c r="C94" i="1"/>
  <c r="B95" i="1"/>
  <c r="G49" i="1" l="1"/>
  <c r="O48" i="1"/>
  <c r="Q93" i="1"/>
  <c r="S93" i="1" s="1"/>
  <c r="F95" i="1"/>
  <c r="N94" i="1"/>
  <c r="P94" i="1"/>
  <c r="C95" i="1"/>
  <c r="B96" i="1"/>
  <c r="J49" i="1" l="1"/>
  <c r="K49" i="1" s="1"/>
  <c r="R49" i="1" s="1"/>
  <c r="L49" i="1"/>
  <c r="M49" i="1" s="1"/>
  <c r="Q94" i="1"/>
  <c r="S94" i="1" s="1"/>
  <c r="T94" i="1"/>
  <c r="F96" i="1"/>
  <c r="N95" i="1"/>
  <c r="H95" i="1"/>
  <c r="H96" i="1" s="1"/>
  <c r="P95" i="1"/>
  <c r="C96" i="1"/>
  <c r="B97" i="1"/>
  <c r="G50" i="1" l="1"/>
  <c r="O49" i="1"/>
  <c r="Q95" i="1"/>
  <c r="S95" i="1" s="1"/>
  <c r="T95" i="1"/>
  <c r="F97" i="1"/>
  <c r="N96" i="1"/>
  <c r="P96" i="1"/>
  <c r="C97" i="1"/>
  <c r="B98" i="1"/>
  <c r="J50" i="1" l="1"/>
  <c r="K50" i="1" s="1"/>
  <c r="R50" i="1" s="1"/>
  <c r="L50" i="1"/>
  <c r="M50" i="1" s="1"/>
  <c r="Q96" i="1"/>
  <c r="S96" i="1" s="1"/>
  <c r="T96" i="1"/>
  <c r="F98" i="1"/>
  <c r="N97" i="1"/>
  <c r="H97" i="1"/>
  <c r="H98" i="1" s="1"/>
  <c r="P97" i="1"/>
  <c r="C98" i="1"/>
  <c r="B99" i="1"/>
  <c r="G51" i="1" l="1"/>
  <c r="O50" i="1"/>
  <c r="Q97" i="1"/>
  <c r="S97" i="1" s="1"/>
  <c r="T97" i="1"/>
  <c r="F99" i="1"/>
  <c r="N98" i="1"/>
  <c r="P98" i="1"/>
  <c r="C99" i="1"/>
  <c r="B100" i="1"/>
  <c r="L51" i="1" l="1"/>
  <c r="M51" i="1" s="1"/>
  <c r="J51" i="1"/>
  <c r="K51" i="1" s="1"/>
  <c r="R51" i="1" s="1"/>
  <c r="Q98" i="1"/>
  <c r="S98" i="1" s="1"/>
  <c r="T98" i="1"/>
  <c r="F100" i="1"/>
  <c r="N99" i="1"/>
  <c r="H99" i="1"/>
  <c r="H100" i="1" s="1"/>
  <c r="P99" i="1"/>
  <c r="C100" i="1"/>
  <c r="B101" i="1"/>
  <c r="G52" i="1" l="1"/>
  <c r="O51" i="1"/>
  <c r="Q99" i="1"/>
  <c r="S99" i="1" s="1"/>
  <c r="T99" i="1"/>
  <c r="F101" i="1"/>
  <c r="N100" i="1"/>
  <c r="P100" i="1"/>
  <c r="C101" i="1"/>
  <c r="B102" i="1"/>
  <c r="L52" i="1" l="1"/>
  <c r="M52" i="1" s="1"/>
  <c r="J52" i="1"/>
  <c r="K52" i="1" s="1"/>
  <c r="R52" i="1" s="1"/>
  <c r="Q100" i="1"/>
  <c r="S100" i="1" s="1"/>
  <c r="T100" i="1"/>
  <c r="F102" i="1"/>
  <c r="N101" i="1"/>
  <c r="H101" i="1"/>
  <c r="H102" i="1" s="1"/>
  <c r="P101" i="1"/>
  <c r="C102" i="1"/>
  <c r="B103" i="1"/>
  <c r="G53" i="1" l="1"/>
  <c r="O52" i="1"/>
  <c r="Q101" i="1"/>
  <c r="S101" i="1" s="1"/>
  <c r="T101" i="1"/>
  <c r="F103" i="1"/>
  <c r="N102" i="1"/>
  <c r="P102" i="1"/>
  <c r="C103" i="1"/>
  <c r="B104" i="1"/>
  <c r="J53" i="1" l="1"/>
  <c r="K53" i="1" s="1"/>
  <c r="R53" i="1" s="1"/>
  <c r="L53" i="1"/>
  <c r="M53" i="1" s="1"/>
  <c r="Q102" i="1"/>
  <c r="S102" i="1" s="1"/>
  <c r="T102" i="1"/>
  <c r="F104" i="1"/>
  <c r="N104" i="1" s="1"/>
  <c r="N103" i="1"/>
  <c r="H103" i="1"/>
  <c r="H104" i="1" s="1"/>
  <c r="P103" i="1"/>
  <c r="C104" i="1"/>
  <c r="P104" i="1" l="1"/>
  <c r="G54" i="1"/>
  <c r="O53" i="1"/>
  <c r="Q104" i="1"/>
  <c r="S104" i="1" s="1"/>
  <c r="T104" i="1"/>
  <c r="Q103" i="1"/>
  <c r="S103" i="1" s="1"/>
  <c r="T103" i="1"/>
  <c r="J54" i="1" l="1"/>
  <c r="K54" i="1" s="1"/>
  <c r="R54" i="1" s="1"/>
  <c r="L54" i="1"/>
  <c r="M54" i="1" s="1"/>
  <c r="G55" i="1" l="1"/>
  <c r="O54" i="1"/>
  <c r="J55" i="1" l="1"/>
  <c r="K55" i="1" s="1"/>
  <c r="R55" i="1" s="1"/>
  <c r="L55" i="1"/>
  <c r="M55" i="1" s="1"/>
  <c r="G56" i="1" l="1"/>
  <c r="O55" i="1"/>
  <c r="L56" i="1" l="1"/>
  <c r="M56" i="1" s="1"/>
  <c r="J56" i="1"/>
  <c r="K56" i="1" s="1"/>
  <c r="R56" i="1" s="1"/>
  <c r="G57" i="1" l="1"/>
  <c r="O56" i="1"/>
  <c r="J57" i="1" l="1"/>
  <c r="K57" i="1" s="1"/>
  <c r="R57" i="1" s="1"/>
  <c r="L57" i="1"/>
  <c r="M57" i="1" s="1"/>
  <c r="G58" i="1" l="1"/>
  <c r="O57" i="1"/>
  <c r="J58" i="1" l="1"/>
  <c r="K58" i="1" s="1"/>
  <c r="R58" i="1" s="1"/>
  <c r="L58" i="1"/>
  <c r="M58" i="1" s="1"/>
  <c r="G59" i="1" l="1"/>
  <c r="O58" i="1"/>
  <c r="J59" i="1" l="1"/>
  <c r="K59" i="1" s="1"/>
  <c r="R59" i="1" s="1"/>
  <c r="L59" i="1"/>
  <c r="M59" i="1" s="1"/>
  <c r="G60" i="1" l="1"/>
  <c r="O59" i="1"/>
  <c r="L60" i="1" l="1"/>
  <c r="M60" i="1" s="1"/>
  <c r="J60" i="1"/>
  <c r="K60" i="1" s="1"/>
  <c r="R60" i="1" s="1"/>
  <c r="G61" i="1" l="1"/>
  <c r="O60" i="1"/>
  <c r="L61" i="1" l="1"/>
  <c r="M61" i="1" s="1"/>
  <c r="J61" i="1"/>
  <c r="K61" i="1" s="1"/>
  <c r="R61" i="1" s="1"/>
  <c r="G62" i="1" l="1"/>
  <c r="O61" i="1"/>
  <c r="L62" i="1" l="1"/>
  <c r="M62" i="1" s="1"/>
  <c r="J62" i="1"/>
  <c r="K62" i="1" s="1"/>
  <c r="R62" i="1" s="1"/>
  <c r="G63" i="1" l="1"/>
  <c r="O62" i="1"/>
  <c r="L63" i="1" l="1"/>
  <c r="M63" i="1" s="1"/>
  <c r="J63" i="1"/>
  <c r="K63" i="1" s="1"/>
  <c r="R63" i="1" s="1"/>
  <c r="G64" i="1" l="1"/>
  <c r="O63" i="1"/>
  <c r="L64" i="1" l="1"/>
  <c r="M64" i="1" s="1"/>
  <c r="J64" i="1"/>
  <c r="K64" i="1" s="1"/>
  <c r="R64" i="1" s="1"/>
  <c r="G65" i="1" l="1"/>
  <c r="O64" i="1"/>
  <c r="J65" i="1" l="1"/>
  <c r="K65" i="1" s="1"/>
  <c r="R65" i="1" s="1"/>
  <c r="L65" i="1"/>
  <c r="M65" i="1" s="1"/>
  <c r="G66" i="1" l="1"/>
  <c r="O65" i="1"/>
  <c r="L66" i="1" l="1"/>
  <c r="M66" i="1" s="1"/>
  <c r="J66" i="1"/>
  <c r="K66" i="1" s="1"/>
  <c r="R66" i="1" s="1"/>
  <c r="G67" i="1" l="1"/>
  <c r="O66" i="1"/>
  <c r="J67" i="1" l="1"/>
  <c r="K67" i="1" s="1"/>
  <c r="R67" i="1" s="1"/>
  <c r="L67" i="1"/>
  <c r="M67" i="1" s="1"/>
  <c r="G68" i="1" l="1"/>
  <c r="O67" i="1"/>
  <c r="J68" i="1" l="1"/>
  <c r="K68" i="1" s="1"/>
  <c r="R68" i="1" s="1"/>
  <c r="L68" i="1"/>
  <c r="M68" i="1" s="1"/>
  <c r="G69" i="1" l="1"/>
  <c r="O68" i="1"/>
  <c r="L69" i="1" l="1"/>
  <c r="M69" i="1" s="1"/>
  <c r="J69" i="1"/>
  <c r="K69" i="1" s="1"/>
  <c r="R69" i="1" s="1"/>
  <c r="G70" i="1" l="1"/>
  <c r="O69" i="1"/>
  <c r="L70" i="1" l="1"/>
  <c r="M70" i="1" s="1"/>
  <c r="J70" i="1"/>
  <c r="K70" i="1" s="1"/>
  <c r="R70" i="1" s="1"/>
  <c r="G71" i="1" l="1"/>
  <c r="O70" i="1"/>
  <c r="L71" i="1" l="1"/>
  <c r="M71" i="1" s="1"/>
  <c r="J71" i="1"/>
  <c r="K71" i="1" s="1"/>
  <c r="R71" i="1" s="1"/>
  <c r="G72" i="1" l="1"/>
  <c r="O71" i="1"/>
  <c r="L72" i="1" l="1"/>
  <c r="M72" i="1" s="1"/>
  <c r="J72" i="1"/>
  <c r="K72" i="1" s="1"/>
  <c r="R72" i="1" s="1"/>
  <c r="G73" i="1" l="1"/>
  <c r="O72" i="1"/>
  <c r="L73" i="1" l="1"/>
  <c r="M73" i="1" s="1"/>
  <c r="J73" i="1"/>
  <c r="K73" i="1" s="1"/>
  <c r="R73" i="1" s="1"/>
  <c r="G74" i="1" l="1"/>
  <c r="O73" i="1"/>
  <c r="L74" i="1" l="1"/>
  <c r="M74" i="1" s="1"/>
  <c r="J74" i="1"/>
  <c r="K74" i="1" s="1"/>
  <c r="R74" i="1" s="1"/>
  <c r="G75" i="1" l="1"/>
  <c r="O74" i="1"/>
  <c r="L75" i="1" l="1"/>
  <c r="M75" i="1" s="1"/>
  <c r="J75" i="1"/>
  <c r="K75" i="1" s="1"/>
  <c r="R75" i="1" s="1"/>
  <c r="G76" i="1" l="1"/>
  <c r="O75" i="1"/>
  <c r="L76" i="1" l="1"/>
  <c r="M76" i="1" s="1"/>
  <c r="J76" i="1"/>
  <c r="K76" i="1" s="1"/>
  <c r="R76" i="1" s="1"/>
  <c r="G77" i="1" l="1"/>
  <c r="O76" i="1"/>
  <c r="J77" i="1" l="1"/>
  <c r="K77" i="1" s="1"/>
  <c r="R77" i="1" s="1"/>
  <c r="L77" i="1"/>
  <c r="M77" i="1" s="1"/>
  <c r="G78" i="1" l="1"/>
  <c r="O77" i="1"/>
  <c r="L78" i="1" l="1"/>
  <c r="M78" i="1" s="1"/>
  <c r="J78" i="1"/>
  <c r="K78" i="1" s="1"/>
  <c r="R78" i="1" s="1"/>
  <c r="G79" i="1" l="1"/>
  <c r="O78" i="1"/>
  <c r="L79" i="1" l="1"/>
  <c r="M79" i="1" s="1"/>
  <c r="J79" i="1"/>
  <c r="K79" i="1" s="1"/>
  <c r="R79" i="1" s="1"/>
  <c r="G80" i="1" l="1"/>
  <c r="O79" i="1"/>
  <c r="L80" i="1" l="1"/>
  <c r="M80" i="1" s="1"/>
  <c r="J80" i="1"/>
  <c r="K80" i="1" s="1"/>
  <c r="R80" i="1" s="1"/>
  <c r="G81" i="1" l="1"/>
  <c r="O80" i="1"/>
  <c r="L81" i="1" l="1"/>
  <c r="M81" i="1" s="1"/>
  <c r="J81" i="1"/>
  <c r="K81" i="1" s="1"/>
  <c r="R81" i="1" s="1"/>
  <c r="G82" i="1" l="1"/>
  <c r="O81" i="1"/>
  <c r="L82" i="1" l="1"/>
  <c r="M82" i="1" s="1"/>
  <c r="J82" i="1"/>
  <c r="K82" i="1" s="1"/>
  <c r="R82" i="1" s="1"/>
  <c r="G83" i="1" l="1"/>
  <c r="O82" i="1"/>
  <c r="L83" i="1" l="1"/>
  <c r="M83" i="1" s="1"/>
  <c r="J83" i="1"/>
  <c r="K83" i="1" s="1"/>
  <c r="R83" i="1" s="1"/>
  <c r="G84" i="1" l="1"/>
  <c r="O83" i="1"/>
  <c r="L84" i="1" l="1"/>
  <c r="M84" i="1" s="1"/>
  <c r="J84" i="1"/>
  <c r="K84" i="1" s="1"/>
  <c r="R84" i="1" s="1"/>
  <c r="G85" i="1" l="1"/>
  <c r="O84" i="1"/>
  <c r="L85" i="1" l="1"/>
  <c r="M85" i="1" s="1"/>
  <c r="J85" i="1"/>
  <c r="K85" i="1" s="1"/>
  <c r="R85" i="1" s="1"/>
  <c r="G86" i="1" l="1"/>
  <c r="O85" i="1"/>
  <c r="J86" i="1" l="1"/>
  <c r="K86" i="1" s="1"/>
  <c r="R86" i="1" s="1"/>
  <c r="L86" i="1"/>
  <c r="M86" i="1" s="1"/>
  <c r="G87" i="1" l="1"/>
  <c r="O86" i="1"/>
  <c r="L87" i="1" l="1"/>
  <c r="M87" i="1" s="1"/>
  <c r="J87" i="1"/>
  <c r="K87" i="1" s="1"/>
  <c r="R87" i="1" s="1"/>
  <c r="G88" i="1" l="1"/>
  <c r="O87" i="1"/>
  <c r="J88" i="1" l="1"/>
  <c r="K88" i="1" s="1"/>
  <c r="R88" i="1" s="1"/>
  <c r="L88" i="1"/>
  <c r="M88" i="1" s="1"/>
  <c r="G89" i="1" l="1"/>
  <c r="O88" i="1"/>
  <c r="J89" i="1" l="1"/>
  <c r="K89" i="1" s="1"/>
  <c r="R89" i="1" s="1"/>
  <c r="L89" i="1"/>
  <c r="M89" i="1" s="1"/>
  <c r="G90" i="1" l="1"/>
  <c r="O89" i="1"/>
  <c r="J90" i="1" l="1"/>
  <c r="K90" i="1" s="1"/>
  <c r="R90" i="1" s="1"/>
  <c r="L90" i="1"/>
  <c r="M90" i="1" s="1"/>
  <c r="G91" i="1" l="1"/>
  <c r="O90" i="1"/>
  <c r="L91" i="1" l="1"/>
  <c r="M91" i="1" s="1"/>
  <c r="J91" i="1"/>
  <c r="K91" i="1" s="1"/>
  <c r="R91" i="1" s="1"/>
  <c r="G92" i="1" l="1"/>
  <c r="O91" i="1"/>
  <c r="L92" i="1" l="1"/>
  <c r="M92" i="1" s="1"/>
  <c r="J92" i="1"/>
  <c r="K92" i="1" s="1"/>
  <c r="R92" i="1" s="1"/>
  <c r="G93" i="1" l="1"/>
  <c r="O92" i="1"/>
  <c r="L93" i="1" l="1"/>
  <c r="M93" i="1" s="1"/>
  <c r="J93" i="1"/>
  <c r="K93" i="1" s="1"/>
  <c r="R93" i="1" s="1"/>
  <c r="G94" i="1" l="1"/>
  <c r="O93" i="1"/>
  <c r="J94" i="1" l="1"/>
  <c r="K94" i="1" s="1"/>
  <c r="R94" i="1" s="1"/>
  <c r="L94" i="1"/>
  <c r="M94" i="1" s="1"/>
  <c r="G95" i="1" l="1"/>
  <c r="O94" i="1"/>
  <c r="J95" i="1" l="1"/>
  <c r="K95" i="1" s="1"/>
  <c r="R95" i="1" s="1"/>
  <c r="L95" i="1"/>
  <c r="M95" i="1" s="1"/>
  <c r="G96" i="1" l="1"/>
  <c r="O95" i="1"/>
  <c r="J96" i="1" l="1"/>
  <c r="K96" i="1" s="1"/>
  <c r="R96" i="1" s="1"/>
  <c r="L96" i="1"/>
  <c r="M96" i="1" s="1"/>
  <c r="G97" i="1" l="1"/>
  <c r="O96" i="1"/>
  <c r="J97" i="1" l="1"/>
  <c r="K97" i="1" s="1"/>
  <c r="R97" i="1" s="1"/>
  <c r="L97" i="1"/>
  <c r="M97" i="1" s="1"/>
  <c r="G98" i="1" l="1"/>
  <c r="O97" i="1"/>
  <c r="L98" i="1" l="1"/>
  <c r="M98" i="1" s="1"/>
  <c r="J98" i="1"/>
  <c r="K98" i="1" s="1"/>
  <c r="R98" i="1" s="1"/>
  <c r="G99" i="1" l="1"/>
  <c r="O98" i="1"/>
  <c r="L99" i="1" l="1"/>
  <c r="M99" i="1" s="1"/>
  <c r="J99" i="1"/>
  <c r="K99" i="1" s="1"/>
  <c r="R99" i="1" s="1"/>
  <c r="G100" i="1" l="1"/>
  <c r="O99" i="1"/>
  <c r="J100" i="1" l="1"/>
  <c r="K100" i="1" s="1"/>
  <c r="R100" i="1" s="1"/>
  <c r="L100" i="1"/>
  <c r="M100" i="1" s="1"/>
  <c r="G101" i="1" l="1"/>
  <c r="O100" i="1"/>
  <c r="J101" i="1" l="1"/>
  <c r="K101" i="1" s="1"/>
  <c r="R101" i="1" s="1"/>
  <c r="L101" i="1"/>
  <c r="M101" i="1" s="1"/>
  <c r="G102" i="1" l="1"/>
  <c r="O101" i="1"/>
  <c r="J102" i="1" l="1"/>
  <c r="K102" i="1" s="1"/>
  <c r="R102" i="1" s="1"/>
  <c r="L102" i="1"/>
  <c r="M102" i="1" s="1"/>
  <c r="G103" i="1" l="1"/>
  <c r="O102" i="1"/>
  <c r="L103" i="1" l="1"/>
  <c r="M103" i="1" s="1"/>
  <c r="J103" i="1"/>
  <c r="K103" i="1" s="1"/>
  <c r="R103" i="1" s="1"/>
  <c r="G104" i="1" l="1"/>
  <c r="O103" i="1"/>
  <c r="J104" i="1" l="1"/>
  <c r="K104" i="1" s="1"/>
  <c r="R104" i="1" s="1"/>
  <c r="L104" i="1"/>
  <c r="M104" i="1" s="1"/>
  <c r="O104" i="1" s="1"/>
</calcChain>
</file>

<file path=xl/sharedStrings.xml><?xml version="1.0" encoding="utf-8"?>
<sst xmlns="http://schemas.openxmlformats.org/spreadsheetml/2006/main" count="22" uniqueCount="22">
  <si>
    <t>Period</t>
  </si>
  <si>
    <t>sI</t>
  </si>
  <si>
    <t>gL</t>
  </si>
  <si>
    <t>delta</t>
  </si>
  <si>
    <t>alpha</t>
  </si>
  <si>
    <t>GDP (Y)</t>
  </si>
  <si>
    <t>K</t>
  </si>
  <si>
    <t>L</t>
  </si>
  <si>
    <t>GDP pc (y)</t>
  </si>
  <si>
    <t>gK</t>
  </si>
  <si>
    <t>gy</t>
  </si>
  <si>
    <t>lny_BGP</t>
  </si>
  <si>
    <t>y_BGP</t>
  </si>
  <si>
    <t>lny</t>
  </si>
  <si>
    <t xml:space="preserve">Create a "shock" in period 11 by changing any of the terms in orange. </t>
  </si>
  <si>
    <t>Fill in initial paramters and state variables (K, A, L) in the green cells.</t>
  </si>
  <si>
    <t>gA+gh</t>
  </si>
  <si>
    <t>Ah</t>
  </si>
  <si>
    <t>K/AhL</t>
  </si>
  <si>
    <t>gAh+gL</t>
  </si>
  <si>
    <t>K/AhL*</t>
  </si>
  <si>
    <t>alnK/AhL*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</si>
</sst>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1" fillId="2" borderId="0" xfId="0" applyFont="1" applyFill="1"/>
    <xf numFmtId="164" fontId="1" fillId="2" borderId="0" xfId="0" applyNumberFormat="1" applyFont="1" applyFill="1"/>
    <xf numFmtId="0" fontId="1" fillId="3" borderId="0" xfId="0" applyFont="1" applyFill="1"/>
    <xf numFmtId="164" fontId="1" fillId="3" borderId="0" xfId="0" applyNumberFormat="1" applyFont="1" applyFill="1"/>
    <xf numFmtId="164" fontId="1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 GDP per capita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Model'!$R$4</c:f>
              <c:strCache>
                <c:ptCount val="1"/>
                <c:pt idx="0">
                  <c:v>lny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'Solow Model'!$R$5:$R$104</c:f>
              <c:numCache>
                <c:formatCode>0.000</c:formatCode>
                <c:ptCount val="100"/>
                <c:pt idx="0">
                  <c:v>0.43615118531110825</c:v>
                </c:pt>
                <c:pt idx="1">
                  <c:v>0.45865118531110821</c:v>
                </c:pt>
                <c:pt idx="2">
                  <c:v>0.48115118531110845</c:v>
                </c:pt>
                <c:pt idx="3">
                  <c:v>0.50365118531110853</c:v>
                </c:pt>
                <c:pt idx="4">
                  <c:v>0.5261511853111086</c:v>
                </c:pt>
                <c:pt idx="5">
                  <c:v>0.54865118531110879</c:v>
                </c:pt>
                <c:pt idx="6">
                  <c:v>0.57115118531110898</c:v>
                </c:pt>
                <c:pt idx="7">
                  <c:v>0.59365118531110883</c:v>
                </c:pt>
                <c:pt idx="8">
                  <c:v>0.61615118531110902</c:v>
                </c:pt>
                <c:pt idx="9">
                  <c:v>0.63865118531110909</c:v>
                </c:pt>
                <c:pt idx="10">
                  <c:v>0.65445118531110924</c:v>
                </c:pt>
                <c:pt idx="11">
                  <c:v>0.67006938751380485</c:v>
                </c:pt>
                <c:pt idx="12">
                  <c:v>0.68551692283968357</c:v>
                </c:pt>
                <c:pt idx="13">
                  <c:v>0.70080412267002812</c:v>
                </c:pt>
                <c:pt idx="14">
                  <c:v>0.71594058878700473</c:v>
                </c:pt>
                <c:pt idx="15">
                  <c:v>0.73093525587151109</c:v>
                </c:pt>
                <c:pt idx="16">
                  <c:v>0.74579644749516383</c:v>
                </c:pt>
                <c:pt idx="17">
                  <c:v>0.76053192640770229</c:v>
                </c:pt>
                <c:pt idx="18">
                  <c:v>0.77514893980784583</c:v>
                </c:pt>
                <c:pt idx="19">
                  <c:v>0.78965426019035856</c:v>
                </c:pt>
                <c:pt idx="20">
                  <c:v>0.80405422228157941</c:v>
                </c:pt>
                <c:pt idx="21">
                  <c:v>0.81835475650747669</c:v>
                </c:pt>
                <c:pt idx="22">
                  <c:v>0.83256141938025818</c:v>
                </c:pt>
                <c:pt idx="23">
                  <c:v>0.84667942114007633</c:v>
                </c:pt>
                <c:pt idx="24">
                  <c:v>0.86071365094600649</c:v>
                </c:pt>
                <c:pt idx="25">
                  <c:v>0.87466869987411289</c:v>
                </c:pt>
                <c:pt idx="26">
                  <c:v>0.88854888194909465</c:v>
                </c:pt>
                <c:pt idx="27">
                  <c:v>0.902358253409002</c:v>
                </c:pt>
                <c:pt idx="28">
                  <c:v>0.91610063037909395</c:v>
                </c:pt>
                <c:pt idx="29">
                  <c:v>0.92977960511062252</c:v>
                </c:pt>
                <c:pt idx="30">
                  <c:v>0.94339856092266317</c:v>
                </c:pt>
                <c:pt idx="31">
                  <c:v>0.95696068596969885</c:v>
                </c:pt>
                <c:pt idx="32">
                  <c:v>0.97046898594421549</c:v>
                </c:pt>
                <c:pt idx="33">
                  <c:v>0.9839262958117676</c:v>
                </c:pt>
                <c:pt idx="34">
                  <c:v>0.99733529066560667</c:v>
                </c:pt>
                <c:pt idx="35">
                  <c:v>1.0106984957788787</c:v>
                </c:pt>
                <c:pt idx="36">
                  <c:v>1.0240182959243391</c:v>
                </c:pt>
                <c:pt idx="37">
                  <c:v>1.0372969440244617</c:v>
                </c:pt>
                <c:pt idx="38">
                  <c:v>1.0505365691885253</c:v>
                </c:pt>
                <c:pt idx="39">
                  <c:v>1.0637391841877013</c:v>
                </c:pt>
                <c:pt idx="40">
                  <c:v>1.076906692414221</c:v>
                </c:pt>
                <c:pt idx="41">
                  <c:v>1.0900408943662967</c:v>
                </c:pt>
                <c:pt idx="42">
                  <c:v>1.1031434936965565</c:v>
                </c:pt>
                <c:pt idx="43">
                  <c:v>1.116216102858242</c:v>
                </c:pt>
                <c:pt idx="44">
                  <c:v>1.1292602483802934</c:v>
                </c:pt>
                <c:pt idx="45">
                  <c:v>1.1422773757996383</c:v>
                </c:pt>
                <c:pt idx="46">
                  <c:v>1.1552688542764877</c:v>
                </c:pt>
                <c:pt idx="47">
                  <c:v>1.1682359809161713</c:v>
                </c:pt>
                <c:pt idx="48">
                  <c:v>1.1811799848190294</c:v>
                </c:pt>
                <c:pt idx="49">
                  <c:v>1.1941020308780246</c:v>
                </c:pt>
                <c:pt idx="50">
                  <c:v>1.2070032233420942</c:v>
                </c:pt>
                <c:pt idx="51">
                  <c:v>1.2198846091617688</c:v>
                </c:pt>
                <c:pt idx="52">
                  <c:v>1.2327471811322266</c:v>
                </c:pt>
                <c:pt idx="53">
                  <c:v>1.2455918808477302</c:v>
                </c:pt>
                <c:pt idx="54">
                  <c:v>1.2584196014802786</c:v>
                </c:pt>
                <c:pt idx="55">
                  <c:v>1.2712311903942983</c:v>
                </c:pt>
                <c:pt idx="56">
                  <c:v>1.2840274516082821</c:v>
                </c:pt>
                <c:pt idx="57">
                  <c:v>1.2968091481134398</c:v>
                </c:pt>
                <c:pt idx="58">
                  <c:v>1.3095770040586718</c:v>
                </c:pt>
                <c:pt idx="59">
                  <c:v>1.3223317068104701</c:v>
                </c:pt>
                <c:pt idx="60">
                  <c:v>1.3350739088957273</c:v>
                </c:pt>
                <c:pt idx="61">
                  <c:v>1.3478042298348394</c:v>
                </c:pt>
                <c:pt idx="62">
                  <c:v>1.3605232578719637</c:v>
                </c:pt>
                <c:pt idx="63">
                  <c:v>1.3732315516087992</c:v>
                </c:pt>
                <c:pt idx="64">
                  <c:v>1.3859296415478128</c:v>
                </c:pt>
                <c:pt idx="65">
                  <c:v>1.3986180315504149</c:v>
                </c:pt>
                <c:pt idx="66">
                  <c:v>1.4112972002152173</c:v>
                </c:pt>
                <c:pt idx="67">
                  <c:v>1.4239676021811496</c:v>
                </c:pt>
                <c:pt idx="68">
                  <c:v>1.4366296693598888</c:v>
                </c:pt>
                <c:pt idx="69">
                  <c:v>1.449283812101769</c:v>
                </c:pt>
                <c:pt idx="70">
                  <c:v>1.4619304202990471</c:v>
                </c:pt>
                <c:pt idx="71">
                  <c:v>1.4745698644301608</c:v>
                </c:pt>
                <c:pt idx="72">
                  <c:v>1.4872024965483748</c:v>
                </c:pt>
                <c:pt idx="73">
                  <c:v>1.4998286512179939</c:v>
                </c:pt>
                <c:pt idx="74">
                  <c:v>1.5124486464011171</c:v>
                </c:pt>
                <c:pt idx="75">
                  <c:v>1.525062784297728</c:v>
                </c:pt>
                <c:pt idx="76">
                  <c:v>1.5376713521417322</c:v>
                </c:pt>
                <c:pt idx="77">
                  <c:v>1.5502746229554016</c:v>
                </c:pt>
                <c:pt idx="78">
                  <c:v>1.5628728562645251</c:v>
                </c:pt>
                <c:pt idx="79">
                  <c:v>1.5754662987764367</c:v>
                </c:pt>
                <c:pt idx="80">
                  <c:v>1.5880551850229483</c:v>
                </c:pt>
                <c:pt idx="81">
                  <c:v>1.6006397379701072</c:v>
                </c:pt>
                <c:pt idx="82">
                  <c:v>1.6132201695965733</c:v>
                </c:pt>
                <c:pt idx="83">
                  <c:v>1.6257966814423133</c:v>
                </c:pt>
                <c:pt idx="84">
                  <c:v>1.6383694651292029</c:v>
                </c:pt>
                <c:pt idx="85">
                  <c:v>1.6509387028550475</c:v>
                </c:pt>
                <c:pt idx="86">
                  <c:v>1.6635045678624283</c:v>
                </c:pt>
                <c:pt idx="87">
                  <c:v>1.6760672248837172</c:v>
                </c:pt>
                <c:pt idx="88">
                  <c:v>1.6886268305635144</c:v>
                </c:pt>
                <c:pt idx="89">
                  <c:v>1.7011835338597028</c:v>
                </c:pt>
                <c:pt idx="90">
                  <c:v>1.7137374764242364</c:v>
                </c:pt>
                <c:pt idx="91">
                  <c:v>1.7262887929647246</c:v>
                </c:pt>
                <c:pt idx="92">
                  <c:v>1.7388376115878139</c:v>
                </c:pt>
                <c:pt idx="93">
                  <c:v>1.7513840541253074</c:v>
                </c:pt>
                <c:pt idx="94">
                  <c:v>1.763928236443925</c:v>
                </c:pt>
                <c:pt idx="95">
                  <c:v>1.7764702687395411</c:v>
                </c:pt>
                <c:pt idx="96">
                  <c:v>1.7890102558167016</c:v>
                </c:pt>
                <c:pt idx="97">
                  <c:v>1.8015482973541794</c:v>
                </c:pt>
                <c:pt idx="98">
                  <c:v>1.8140844881572766</c:v>
                </c:pt>
                <c:pt idx="99">
                  <c:v>1.8266189183975567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C-584B-B7FB-884BDEC919D7}"/>
            </c:ext>
          </c:extLst>
        </c:ser>
        <c:ser>
          <c:idx val="1"/>
          <c:order val="1"/>
          <c:tx>
            <c:strRef>
              <c:f>'Solow Model'!$S$4</c:f>
              <c:strCache>
                <c:ptCount val="1"/>
                <c:pt idx="0">
                  <c:v>lny_BGP</c:v>
                </c:pt>
              </c:strCache>
            </c:strRef>
          </c:tx>
          <c:spPr>
            <a:ln w="317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'Solow Model'!$S$5:$S$104</c:f>
              <c:numCache>
                <c:formatCode>0.000</c:formatCode>
                <c:ptCount val="100"/>
                <c:pt idx="0">
                  <c:v>0.43615118531110825</c:v>
                </c:pt>
                <c:pt idx="1">
                  <c:v>0.45865118531110838</c:v>
                </c:pt>
                <c:pt idx="2">
                  <c:v>0.48115118531110845</c:v>
                </c:pt>
                <c:pt idx="3">
                  <c:v>0.50365118531110853</c:v>
                </c:pt>
                <c:pt idx="4">
                  <c:v>0.5261511853111086</c:v>
                </c:pt>
                <c:pt idx="5">
                  <c:v>0.54865118531110879</c:v>
                </c:pt>
                <c:pt idx="6">
                  <c:v>0.57115118531110887</c:v>
                </c:pt>
                <c:pt idx="7">
                  <c:v>0.59365118531110916</c:v>
                </c:pt>
                <c:pt idx="8">
                  <c:v>0.61615118531110913</c:v>
                </c:pt>
                <c:pt idx="9">
                  <c:v>0.6386511853111092</c:v>
                </c:pt>
                <c:pt idx="10">
                  <c:v>0.71479278439827632</c:v>
                </c:pt>
                <c:pt idx="11">
                  <c:v>0.72729278439827649</c:v>
                </c:pt>
                <c:pt idx="12">
                  <c:v>0.73979278439827656</c:v>
                </c:pt>
                <c:pt idx="13">
                  <c:v>0.75229278439827652</c:v>
                </c:pt>
                <c:pt idx="14">
                  <c:v>0.76479278439827669</c:v>
                </c:pt>
                <c:pt idx="15">
                  <c:v>0.77729278439827676</c:v>
                </c:pt>
                <c:pt idx="16">
                  <c:v>0.78979278439827705</c:v>
                </c:pt>
                <c:pt idx="17">
                  <c:v>0.802292784398277</c:v>
                </c:pt>
                <c:pt idx="18">
                  <c:v>0.81479278439827707</c:v>
                </c:pt>
                <c:pt idx="19">
                  <c:v>0.82729278439827714</c:v>
                </c:pt>
                <c:pt idx="20">
                  <c:v>0.8397927843982772</c:v>
                </c:pt>
                <c:pt idx="21">
                  <c:v>0.85229278439827716</c:v>
                </c:pt>
                <c:pt idx="22">
                  <c:v>0.86479278439827723</c:v>
                </c:pt>
                <c:pt idx="23">
                  <c:v>0.87729278439827718</c:v>
                </c:pt>
                <c:pt idx="24">
                  <c:v>0.88979278439827714</c:v>
                </c:pt>
                <c:pt idx="25">
                  <c:v>0.9022927843982772</c:v>
                </c:pt>
                <c:pt idx="26">
                  <c:v>0.91479278439827716</c:v>
                </c:pt>
                <c:pt idx="27">
                  <c:v>0.92729278439827734</c:v>
                </c:pt>
                <c:pt idx="28">
                  <c:v>0.9397927843982774</c:v>
                </c:pt>
                <c:pt idx="29">
                  <c:v>0.95229278439827758</c:v>
                </c:pt>
                <c:pt idx="30">
                  <c:v>0.96479278439827754</c:v>
                </c:pt>
                <c:pt idx="31">
                  <c:v>0.9772927843982776</c:v>
                </c:pt>
                <c:pt idx="32">
                  <c:v>0.98979278439827767</c:v>
                </c:pt>
                <c:pt idx="33">
                  <c:v>1.0022927843982776</c:v>
                </c:pt>
                <c:pt idx="34">
                  <c:v>1.0147927843982778</c:v>
                </c:pt>
                <c:pt idx="35">
                  <c:v>1.0272927843982778</c:v>
                </c:pt>
                <c:pt idx="36">
                  <c:v>1.0397927843982777</c:v>
                </c:pt>
                <c:pt idx="37">
                  <c:v>1.0522927843982779</c:v>
                </c:pt>
                <c:pt idx="38">
                  <c:v>1.0647927843982778</c:v>
                </c:pt>
                <c:pt idx="39">
                  <c:v>1.077292784398278</c:v>
                </c:pt>
                <c:pt idx="40">
                  <c:v>1.089792784398278</c:v>
                </c:pt>
                <c:pt idx="41">
                  <c:v>1.1022927843982779</c:v>
                </c:pt>
                <c:pt idx="42">
                  <c:v>1.1147927843982779</c:v>
                </c:pt>
                <c:pt idx="43">
                  <c:v>1.1272927843982781</c:v>
                </c:pt>
                <c:pt idx="44">
                  <c:v>1.139792784398278</c:v>
                </c:pt>
                <c:pt idx="45">
                  <c:v>1.1522927843982782</c:v>
                </c:pt>
                <c:pt idx="46">
                  <c:v>1.1647927843982784</c:v>
                </c:pt>
                <c:pt idx="47">
                  <c:v>1.1772927843982783</c:v>
                </c:pt>
                <c:pt idx="48">
                  <c:v>1.1897927843982783</c:v>
                </c:pt>
                <c:pt idx="49">
                  <c:v>1.2022927843982782</c:v>
                </c:pt>
                <c:pt idx="50">
                  <c:v>1.2147927843982784</c:v>
                </c:pt>
                <c:pt idx="51">
                  <c:v>1.2272927843982784</c:v>
                </c:pt>
                <c:pt idx="52">
                  <c:v>1.2397927843982783</c:v>
                </c:pt>
                <c:pt idx="53">
                  <c:v>1.2522927843982783</c:v>
                </c:pt>
                <c:pt idx="54">
                  <c:v>1.2647927843982782</c:v>
                </c:pt>
                <c:pt idx="55">
                  <c:v>1.2772927843982782</c:v>
                </c:pt>
                <c:pt idx="56">
                  <c:v>1.2897927843982784</c:v>
                </c:pt>
                <c:pt idx="57">
                  <c:v>1.3022927843982783</c:v>
                </c:pt>
                <c:pt idx="58">
                  <c:v>1.3147927843982785</c:v>
                </c:pt>
                <c:pt idx="59">
                  <c:v>1.3272927843982787</c:v>
                </c:pt>
                <c:pt idx="60">
                  <c:v>1.3397927843982786</c:v>
                </c:pt>
                <c:pt idx="61">
                  <c:v>1.3522927843982786</c:v>
                </c:pt>
                <c:pt idx="62">
                  <c:v>1.3647927843982786</c:v>
                </c:pt>
                <c:pt idx="63">
                  <c:v>1.3772927843982787</c:v>
                </c:pt>
                <c:pt idx="64">
                  <c:v>1.3897927843982789</c:v>
                </c:pt>
                <c:pt idx="65">
                  <c:v>1.4022927843982789</c:v>
                </c:pt>
                <c:pt idx="66">
                  <c:v>1.4147927843982788</c:v>
                </c:pt>
                <c:pt idx="67">
                  <c:v>1.427292784398279</c:v>
                </c:pt>
                <c:pt idx="68">
                  <c:v>1.439792784398279</c:v>
                </c:pt>
                <c:pt idx="69">
                  <c:v>1.4522927843982791</c:v>
                </c:pt>
                <c:pt idx="70">
                  <c:v>1.4647927843982791</c:v>
                </c:pt>
                <c:pt idx="71">
                  <c:v>1.4772927843982793</c:v>
                </c:pt>
                <c:pt idx="72">
                  <c:v>1.4897927843982792</c:v>
                </c:pt>
                <c:pt idx="73">
                  <c:v>1.5022927843982792</c:v>
                </c:pt>
                <c:pt idx="74">
                  <c:v>1.5147927843982791</c:v>
                </c:pt>
                <c:pt idx="75">
                  <c:v>1.5272927843982793</c:v>
                </c:pt>
                <c:pt idx="76">
                  <c:v>1.5397927843982795</c:v>
                </c:pt>
                <c:pt idx="77">
                  <c:v>1.5522927843982792</c:v>
                </c:pt>
                <c:pt idx="78">
                  <c:v>1.5647927843982794</c:v>
                </c:pt>
                <c:pt idx="79">
                  <c:v>1.5772927843982796</c:v>
                </c:pt>
                <c:pt idx="80">
                  <c:v>1.5897927843982795</c:v>
                </c:pt>
                <c:pt idx="81">
                  <c:v>1.6022927843982795</c:v>
                </c:pt>
                <c:pt idx="82">
                  <c:v>1.6147927843982794</c:v>
                </c:pt>
                <c:pt idx="83">
                  <c:v>1.6272927843982794</c:v>
                </c:pt>
                <c:pt idx="84">
                  <c:v>1.6397927843982796</c:v>
                </c:pt>
                <c:pt idx="85">
                  <c:v>1.6522927843982798</c:v>
                </c:pt>
                <c:pt idx="86">
                  <c:v>1.6647927843982797</c:v>
                </c:pt>
                <c:pt idx="87">
                  <c:v>1.6772927843982799</c:v>
                </c:pt>
                <c:pt idx="88">
                  <c:v>1.6897927843982796</c:v>
                </c:pt>
                <c:pt idx="89">
                  <c:v>1.7022927843982798</c:v>
                </c:pt>
                <c:pt idx="90">
                  <c:v>1.71479278439828</c:v>
                </c:pt>
                <c:pt idx="91">
                  <c:v>1.7272927843982799</c:v>
                </c:pt>
                <c:pt idx="92">
                  <c:v>1.7397927843982801</c:v>
                </c:pt>
                <c:pt idx="93">
                  <c:v>1.7522927843982801</c:v>
                </c:pt>
                <c:pt idx="94">
                  <c:v>1.7647927843982802</c:v>
                </c:pt>
                <c:pt idx="95">
                  <c:v>1.7772927843982802</c:v>
                </c:pt>
                <c:pt idx="96">
                  <c:v>1.7897927843982804</c:v>
                </c:pt>
                <c:pt idx="97">
                  <c:v>1.8022927843982803</c:v>
                </c:pt>
                <c:pt idx="98">
                  <c:v>1.8147927843982805</c:v>
                </c:pt>
                <c:pt idx="99">
                  <c:v>1.8272927843982805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AC-584B-B7FB-884BDEC91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35600"/>
        <c:axId val="133034496"/>
      </c:lineChart>
      <c:catAx>
        <c:axId val="132735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34496"/>
        <c:crosses val="autoZero"/>
        <c:auto val="1"/>
        <c:lblAlgn val="ctr"/>
        <c:lblOffset val="100"/>
        <c:noMultiLvlLbl val="0"/>
      </c:catAx>
      <c:valAx>
        <c:axId val="1330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baseline="0"/>
                  <a:t> GDP per capita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3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Growth rate of 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Model'!$O$4</c:f>
              <c:strCache>
                <c:ptCount val="1"/>
                <c:pt idx="0">
                  <c:v>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'Solow Model'!$O$5:$O$104</c:f>
              <c:numCache>
                <c:formatCode>0.000</c:formatCode>
                <c:ptCount val="100"/>
                <c:pt idx="0">
                  <c:v>2.2500000000000003E-2</c:v>
                </c:pt>
                <c:pt idx="1">
                  <c:v>2.2500000000000003E-2</c:v>
                </c:pt>
                <c:pt idx="2">
                  <c:v>2.2500000000000003E-2</c:v>
                </c:pt>
                <c:pt idx="3">
                  <c:v>2.2499999999999996E-2</c:v>
                </c:pt>
                <c:pt idx="4">
                  <c:v>2.2499999999999996E-2</c:v>
                </c:pt>
                <c:pt idx="5">
                  <c:v>2.2499999999999996E-2</c:v>
                </c:pt>
                <c:pt idx="6">
                  <c:v>2.2500000000000003E-2</c:v>
                </c:pt>
                <c:pt idx="7">
                  <c:v>2.2499999999999996E-2</c:v>
                </c:pt>
                <c:pt idx="8">
                  <c:v>2.2500000000000003E-2</c:v>
                </c:pt>
                <c:pt idx="9">
                  <c:v>2.2500000000000003E-2</c:v>
                </c:pt>
                <c:pt idx="10">
                  <c:v>1.5618202202695722E-2</c:v>
                </c:pt>
                <c:pt idx="11">
                  <c:v>1.5447535325878418E-2</c:v>
                </c:pt>
                <c:pt idx="12">
                  <c:v>1.5287199830344812E-2</c:v>
                </c:pt>
                <c:pt idx="13">
                  <c:v>1.5136466116976525E-2</c:v>
                </c:pt>
                <c:pt idx="14">
                  <c:v>1.4994667084506077E-2</c:v>
                </c:pt>
                <c:pt idx="15">
                  <c:v>1.4861191623652632E-2</c:v>
                </c:pt>
                <c:pt idx="16">
                  <c:v>1.4735478912538279E-2</c:v>
                </c:pt>
                <c:pt idx="17">
                  <c:v>1.4617013400143713E-2</c:v>
                </c:pt>
                <c:pt idx="18">
                  <c:v>1.4505320382512473E-2</c:v>
                </c:pt>
                <c:pt idx="19">
                  <c:v>1.4399962091220738E-2</c:v>
                </c:pt>
                <c:pt idx="20">
                  <c:v>1.4300534225897492E-2</c:v>
                </c:pt>
                <c:pt idx="21">
                  <c:v>1.4206662872781491E-2</c:v>
                </c:pt>
                <c:pt idx="22">
                  <c:v>1.4118001759817757E-2</c:v>
                </c:pt>
                <c:pt idx="23">
                  <c:v>1.4034229805930418E-2</c:v>
                </c:pt>
                <c:pt idx="24">
                  <c:v>1.3955048928106263E-2</c:v>
                </c:pt>
                <c:pt idx="25">
                  <c:v>1.3880182074981868E-2</c:v>
                </c:pt>
                <c:pt idx="26">
                  <c:v>1.3809371459907252E-2</c:v>
                </c:pt>
                <c:pt idx="27">
                  <c:v>1.3742376970091551E-2</c:v>
                </c:pt>
                <c:pt idx="28">
                  <c:v>1.3678974731528694E-2</c:v>
                </c:pt>
                <c:pt idx="29">
                  <c:v>1.3618955812040612E-2</c:v>
                </c:pt>
                <c:pt idx="30">
                  <c:v>1.3562125047035387E-2</c:v>
                </c:pt>
                <c:pt idx="31">
                  <c:v>1.3508299974516882E-2</c:v>
                </c:pt>
                <c:pt idx="32">
                  <c:v>1.34573098675518E-2</c:v>
                </c:pt>
                <c:pt idx="33">
                  <c:v>1.3408994853839083E-2</c:v>
                </c:pt>
                <c:pt idx="34">
                  <c:v>1.3363205113271779E-2</c:v>
                </c:pt>
                <c:pt idx="35">
                  <c:v>1.3319800145460275E-2</c:v>
                </c:pt>
                <c:pt idx="36">
                  <c:v>1.3278648100122586E-2</c:v>
                </c:pt>
                <c:pt idx="37">
                  <c:v>1.3239625164063549E-2</c:v>
                </c:pt>
                <c:pt idx="38">
                  <c:v>1.3202614999176042E-2</c:v>
                </c:pt>
                <c:pt idx="39">
                  <c:v>1.3167508226519494E-2</c:v>
                </c:pt>
                <c:pt idx="40">
                  <c:v>1.3134201952075663E-2</c:v>
                </c:pt>
                <c:pt idx="41">
                  <c:v>1.3102599330259816E-2</c:v>
                </c:pt>
                <c:pt idx="42">
                  <c:v>1.3072609161685459E-2</c:v>
                </c:pt>
                <c:pt idx="43">
                  <c:v>1.3044145522051279E-2</c:v>
                </c:pt>
                <c:pt idx="44">
                  <c:v>1.3017127419345156E-2</c:v>
                </c:pt>
                <c:pt idx="45">
                  <c:v>1.2991478476848997E-2</c:v>
                </c:pt>
                <c:pt idx="46">
                  <c:v>1.2967126639683441E-2</c:v>
                </c:pt>
                <c:pt idx="47">
                  <c:v>1.2944003902858265E-2</c:v>
                </c:pt>
                <c:pt idx="48">
                  <c:v>1.2922046058995265E-2</c:v>
                </c:pt>
                <c:pt idx="49">
                  <c:v>1.2901192464069542E-2</c:v>
                </c:pt>
                <c:pt idx="50">
                  <c:v>1.2881385819674452E-2</c:v>
                </c:pt>
                <c:pt idx="51">
                  <c:v>1.2862571970457797E-2</c:v>
                </c:pt>
                <c:pt idx="52">
                  <c:v>1.284469971550363E-2</c:v>
                </c:pt>
                <c:pt idx="53">
                  <c:v>1.2827720632548185E-2</c:v>
                </c:pt>
                <c:pt idx="54">
                  <c:v>1.2811588914019697E-2</c:v>
                </c:pt>
                <c:pt idx="55">
                  <c:v>1.2796261213983811E-2</c:v>
                </c:pt>
                <c:pt idx="56">
                  <c:v>1.2781696505157931E-2</c:v>
                </c:pt>
                <c:pt idx="57">
                  <c:v>1.2767855945231811E-2</c:v>
                </c:pt>
                <c:pt idx="58">
                  <c:v>1.2754702751798162E-2</c:v>
                </c:pt>
                <c:pt idx="59">
                  <c:v>1.2742202085257105E-2</c:v>
                </c:pt>
                <c:pt idx="60">
                  <c:v>1.273032093911209E-2</c:v>
                </c:pt>
                <c:pt idx="61">
                  <c:v>1.2719028037124146E-2</c:v>
                </c:pt>
                <c:pt idx="62">
                  <c:v>1.2708293736835505E-2</c:v>
                </c:pt>
                <c:pt idx="63">
                  <c:v>1.2698089939013403E-2</c:v>
                </c:pt>
                <c:pt idx="64">
                  <c:v>1.2688390002602029E-2</c:v>
                </c:pt>
                <c:pt idx="65">
                  <c:v>1.2679168664802499E-2</c:v>
                </c:pt>
                <c:pt idx="66">
                  <c:v>1.2670401965931969E-2</c:v>
                </c:pt>
                <c:pt idx="67">
                  <c:v>1.2662067178739307E-2</c:v>
                </c:pt>
                <c:pt idx="68">
                  <c:v>1.265414274188034E-2</c:v>
                </c:pt>
                <c:pt idx="69">
                  <c:v>1.2646608197277968E-2</c:v>
                </c:pt>
                <c:pt idx="70">
                  <c:v>1.2639444131113465E-2</c:v>
                </c:pt>
                <c:pt idx="71">
                  <c:v>1.2632632118214006E-2</c:v>
                </c:pt>
                <c:pt idx="72">
                  <c:v>1.2626154669618935E-2</c:v>
                </c:pt>
                <c:pt idx="73">
                  <c:v>1.2619995183123234E-2</c:v>
                </c:pt>
                <c:pt idx="74">
                  <c:v>1.2614137896610792E-2</c:v>
                </c:pt>
                <c:pt idx="75">
                  <c:v>1.2608567844004192E-2</c:v>
                </c:pt>
                <c:pt idx="76">
                  <c:v>1.260327081366912E-2</c:v>
                </c:pt>
                <c:pt idx="77">
                  <c:v>1.2598233309123501E-2</c:v>
                </c:pt>
                <c:pt idx="78">
                  <c:v>1.2593442511911404E-2</c:v>
                </c:pt>
                <c:pt idx="79">
                  <c:v>1.2588886246511534E-2</c:v>
                </c:pt>
                <c:pt idx="80">
                  <c:v>1.2584552947158873E-2</c:v>
                </c:pt>
                <c:pt idx="81">
                  <c:v>1.2580431626466208E-2</c:v>
                </c:pt>
                <c:pt idx="82">
                  <c:v>1.2576511845739696E-2</c:v>
                </c:pt>
                <c:pt idx="83">
                  <c:v>1.257278368688973E-2</c:v>
                </c:pt>
                <c:pt idx="84">
                  <c:v>1.2569237725844656E-2</c:v>
                </c:pt>
                <c:pt idx="85">
                  <c:v>1.2565865007380916E-2</c:v>
                </c:pt>
                <c:pt idx="86">
                  <c:v>1.2562657021288641E-2</c:v>
                </c:pt>
                <c:pt idx="87">
                  <c:v>1.2559605679797047E-2</c:v>
                </c:pt>
                <c:pt idx="88">
                  <c:v>1.255670329618833E-2</c:v>
                </c:pt>
                <c:pt idx="89">
                  <c:v>1.2553942564533632E-2</c:v>
                </c:pt>
                <c:pt idx="90">
                  <c:v>1.2551316540488489E-2</c:v>
                </c:pt>
                <c:pt idx="91">
                  <c:v>1.2548818623088917E-2</c:v>
                </c:pt>
                <c:pt idx="92">
                  <c:v>1.2546442537493223E-2</c:v>
                </c:pt>
                <c:pt idx="93">
                  <c:v>1.2544182318617458E-2</c:v>
                </c:pt>
                <c:pt idx="94">
                  <c:v>1.2542032295615934E-2</c:v>
                </c:pt>
                <c:pt idx="95">
                  <c:v>1.2539987077160825E-2</c:v>
                </c:pt>
                <c:pt idx="96">
                  <c:v>1.2538041537477776E-2</c:v>
                </c:pt>
                <c:pt idx="97">
                  <c:v>1.2536190803096795E-2</c:v>
                </c:pt>
                <c:pt idx="98">
                  <c:v>1.2534430240280146E-2</c:v>
                </c:pt>
                <c:pt idx="99">
                  <c:v>1.2532755443091218E-2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E7-8145-B4F1-C2F167B127ED}"/>
            </c:ext>
          </c:extLst>
        </c:ser>
        <c:ser>
          <c:idx val="1"/>
          <c:order val="1"/>
          <c:tx>
            <c:strRef>
              <c:f>'Solow Model'!$F$4</c:f>
              <c:strCache>
                <c:ptCount val="1"/>
                <c:pt idx="0">
                  <c:v>gA+gh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'Solow Model'!$F$5:$F$104</c:f>
              <c:numCache>
                <c:formatCode>General</c:formatCode>
                <c:ptCount val="100"/>
                <c:pt idx="0">
                  <c:v>2.2499999999999999E-2</c:v>
                </c:pt>
                <c:pt idx="1">
                  <c:v>2.2499999999999999E-2</c:v>
                </c:pt>
                <c:pt idx="2">
                  <c:v>2.2499999999999999E-2</c:v>
                </c:pt>
                <c:pt idx="3">
                  <c:v>2.2499999999999999E-2</c:v>
                </c:pt>
                <c:pt idx="4">
                  <c:v>2.2499999999999999E-2</c:v>
                </c:pt>
                <c:pt idx="5">
                  <c:v>2.2499999999999999E-2</c:v>
                </c:pt>
                <c:pt idx="6">
                  <c:v>2.2499999999999999E-2</c:v>
                </c:pt>
                <c:pt idx="7">
                  <c:v>2.2499999999999999E-2</c:v>
                </c:pt>
                <c:pt idx="8">
                  <c:v>2.2499999999999999E-2</c:v>
                </c:pt>
                <c:pt idx="9">
                  <c:v>2.2499999999999999E-2</c:v>
                </c:pt>
                <c:pt idx="10">
                  <c:v>1.2500000000000001E-2</c:v>
                </c:pt>
                <c:pt idx="11">
                  <c:v>1.2500000000000001E-2</c:v>
                </c:pt>
                <c:pt idx="12">
                  <c:v>1.2500000000000001E-2</c:v>
                </c:pt>
                <c:pt idx="13">
                  <c:v>1.2500000000000001E-2</c:v>
                </c:pt>
                <c:pt idx="14">
                  <c:v>1.2500000000000001E-2</c:v>
                </c:pt>
                <c:pt idx="15">
                  <c:v>1.2500000000000001E-2</c:v>
                </c:pt>
                <c:pt idx="16">
                  <c:v>1.2500000000000001E-2</c:v>
                </c:pt>
                <c:pt idx="17">
                  <c:v>1.2500000000000001E-2</c:v>
                </c:pt>
                <c:pt idx="18">
                  <c:v>1.2500000000000001E-2</c:v>
                </c:pt>
                <c:pt idx="19">
                  <c:v>1.2500000000000001E-2</c:v>
                </c:pt>
                <c:pt idx="20">
                  <c:v>1.2500000000000001E-2</c:v>
                </c:pt>
                <c:pt idx="21">
                  <c:v>1.2500000000000001E-2</c:v>
                </c:pt>
                <c:pt idx="22">
                  <c:v>1.2500000000000001E-2</c:v>
                </c:pt>
                <c:pt idx="23">
                  <c:v>1.2500000000000001E-2</c:v>
                </c:pt>
                <c:pt idx="24">
                  <c:v>1.2500000000000001E-2</c:v>
                </c:pt>
                <c:pt idx="25">
                  <c:v>1.2500000000000001E-2</c:v>
                </c:pt>
                <c:pt idx="26">
                  <c:v>1.2500000000000001E-2</c:v>
                </c:pt>
                <c:pt idx="27">
                  <c:v>1.2500000000000001E-2</c:v>
                </c:pt>
                <c:pt idx="28">
                  <c:v>1.2500000000000001E-2</c:v>
                </c:pt>
                <c:pt idx="29">
                  <c:v>1.2500000000000001E-2</c:v>
                </c:pt>
                <c:pt idx="30">
                  <c:v>1.2500000000000001E-2</c:v>
                </c:pt>
                <c:pt idx="31">
                  <c:v>1.2500000000000001E-2</c:v>
                </c:pt>
                <c:pt idx="32">
                  <c:v>1.2500000000000001E-2</c:v>
                </c:pt>
                <c:pt idx="33">
                  <c:v>1.2500000000000001E-2</c:v>
                </c:pt>
                <c:pt idx="34">
                  <c:v>1.2500000000000001E-2</c:v>
                </c:pt>
                <c:pt idx="35">
                  <c:v>1.2500000000000001E-2</c:v>
                </c:pt>
                <c:pt idx="36">
                  <c:v>1.2500000000000001E-2</c:v>
                </c:pt>
                <c:pt idx="37">
                  <c:v>1.2500000000000001E-2</c:v>
                </c:pt>
                <c:pt idx="38">
                  <c:v>1.2500000000000001E-2</c:v>
                </c:pt>
                <c:pt idx="39">
                  <c:v>1.2500000000000001E-2</c:v>
                </c:pt>
                <c:pt idx="40">
                  <c:v>1.2500000000000001E-2</c:v>
                </c:pt>
                <c:pt idx="41">
                  <c:v>1.2500000000000001E-2</c:v>
                </c:pt>
                <c:pt idx="42">
                  <c:v>1.2500000000000001E-2</c:v>
                </c:pt>
                <c:pt idx="43">
                  <c:v>1.2500000000000001E-2</c:v>
                </c:pt>
                <c:pt idx="44">
                  <c:v>1.2500000000000001E-2</c:v>
                </c:pt>
                <c:pt idx="45">
                  <c:v>1.2500000000000001E-2</c:v>
                </c:pt>
                <c:pt idx="46">
                  <c:v>1.2500000000000001E-2</c:v>
                </c:pt>
                <c:pt idx="47">
                  <c:v>1.2500000000000001E-2</c:v>
                </c:pt>
                <c:pt idx="48">
                  <c:v>1.2500000000000001E-2</c:v>
                </c:pt>
                <c:pt idx="49">
                  <c:v>1.2500000000000001E-2</c:v>
                </c:pt>
                <c:pt idx="50">
                  <c:v>1.2500000000000001E-2</c:v>
                </c:pt>
                <c:pt idx="51">
                  <c:v>1.2500000000000001E-2</c:v>
                </c:pt>
                <c:pt idx="52">
                  <c:v>1.2500000000000001E-2</c:v>
                </c:pt>
                <c:pt idx="53">
                  <c:v>1.2500000000000001E-2</c:v>
                </c:pt>
                <c:pt idx="54">
                  <c:v>1.2500000000000001E-2</c:v>
                </c:pt>
                <c:pt idx="55">
                  <c:v>1.2500000000000001E-2</c:v>
                </c:pt>
                <c:pt idx="56">
                  <c:v>1.2500000000000001E-2</c:v>
                </c:pt>
                <c:pt idx="57">
                  <c:v>1.2500000000000001E-2</c:v>
                </c:pt>
                <c:pt idx="58">
                  <c:v>1.2500000000000001E-2</c:v>
                </c:pt>
                <c:pt idx="59">
                  <c:v>1.2500000000000001E-2</c:v>
                </c:pt>
                <c:pt idx="60">
                  <c:v>1.2500000000000001E-2</c:v>
                </c:pt>
                <c:pt idx="61">
                  <c:v>1.2500000000000001E-2</c:v>
                </c:pt>
                <c:pt idx="62">
                  <c:v>1.2500000000000001E-2</c:v>
                </c:pt>
                <c:pt idx="63">
                  <c:v>1.2500000000000001E-2</c:v>
                </c:pt>
                <c:pt idx="64">
                  <c:v>1.2500000000000001E-2</c:v>
                </c:pt>
                <c:pt idx="65">
                  <c:v>1.2500000000000001E-2</c:v>
                </c:pt>
                <c:pt idx="66">
                  <c:v>1.2500000000000001E-2</c:v>
                </c:pt>
                <c:pt idx="67">
                  <c:v>1.2500000000000001E-2</c:v>
                </c:pt>
                <c:pt idx="68">
                  <c:v>1.2500000000000001E-2</c:v>
                </c:pt>
                <c:pt idx="69">
                  <c:v>1.2500000000000001E-2</c:v>
                </c:pt>
                <c:pt idx="70">
                  <c:v>1.2500000000000001E-2</c:v>
                </c:pt>
                <c:pt idx="71">
                  <c:v>1.2500000000000001E-2</c:v>
                </c:pt>
                <c:pt idx="72">
                  <c:v>1.2500000000000001E-2</c:v>
                </c:pt>
                <c:pt idx="73">
                  <c:v>1.2500000000000001E-2</c:v>
                </c:pt>
                <c:pt idx="74">
                  <c:v>1.2500000000000001E-2</c:v>
                </c:pt>
                <c:pt idx="75">
                  <c:v>1.2500000000000001E-2</c:v>
                </c:pt>
                <c:pt idx="76">
                  <c:v>1.2500000000000001E-2</c:v>
                </c:pt>
                <c:pt idx="77">
                  <c:v>1.2500000000000001E-2</c:v>
                </c:pt>
                <c:pt idx="78">
                  <c:v>1.2500000000000001E-2</c:v>
                </c:pt>
                <c:pt idx="79">
                  <c:v>1.2500000000000001E-2</c:v>
                </c:pt>
                <c:pt idx="80">
                  <c:v>1.2500000000000001E-2</c:v>
                </c:pt>
                <c:pt idx="81">
                  <c:v>1.2500000000000001E-2</c:v>
                </c:pt>
                <c:pt idx="82">
                  <c:v>1.2500000000000001E-2</c:v>
                </c:pt>
                <c:pt idx="83">
                  <c:v>1.2500000000000001E-2</c:v>
                </c:pt>
                <c:pt idx="84">
                  <c:v>1.2500000000000001E-2</c:v>
                </c:pt>
                <c:pt idx="85">
                  <c:v>1.2500000000000001E-2</c:v>
                </c:pt>
                <c:pt idx="86">
                  <c:v>1.2500000000000001E-2</c:v>
                </c:pt>
                <c:pt idx="87">
                  <c:v>1.2500000000000001E-2</c:v>
                </c:pt>
                <c:pt idx="88">
                  <c:v>1.2500000000000001E-2</c:v>
                </c:pt>
                <c:pt idx="89">
                  <c:v>1.2500000000000001E-2</c:v>
                </c:pt>
                <c:pt idx="90">
                  <c:v>1.2500000000000001E-2</c:v>
                </c:pt>
                <c:pt idx="91">
                  <c:v>1.2500000000000001E-2</c:v>
                </c:pt>
                <c:pt idx="92">
                  <c:v>1.2500000000000001E-2</c:v>
                </c:pt>
                <c:pt idx="93">
                  <c:v>1.2500000000000001E-2</c:v>
                </c:pt>
                <c:pt idx="94">
                  <c:v>1.2500000000000001E-2</c:v>
                </c:pt>
                <c:pt idx="95">
                  <c:v>1.2500000000000001E-2</c:v>
                </c:pt>
                <c:pt idx="96">
                  <c:v>1.2500000000000001E-2</c:v>
                </c:pt>
                <c:pt idx="97">
                  <c:v>1.2500000000000001E-2</c:v>
                </c:pt>
                <c:pt idx="98">
                  <c:v>1.2500000000000001E-2</c:v>
                </c:pt>
                <c:pt idx="99">
                  <c:v>1.2500000000000001E-2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E7-8145-B4F1-C2F167B12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99712"/>
        <c:axId val="173333344"/>
      </c:lineChart>
      <c:catAx>
        <c:axId val="173799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33344"/>
        <c:crosses val="autoZero"/>
        <c:auto val="1"/>
        <c:lblAlgn val="ctr"/>
        <c:lblOffset val="100"/>
        <c:noMultiLvlLbl val="0"/>
      </c:catAx>
      <c:valAx>
        <c:axId val="17333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Growth</a:t>
                </a:r>
                <a:r>
                  <a:rPr lang="en-US" baseline="0"/>
                  <a:t> rate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9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K/AL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Model'!$L$4</c:f>
              <c:strCache>
                <c:ptCount val="1"/>
                <c:pt idx="0">
                  <c:v>K/AhL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'Solow Model'!$L$5:$L$104</c:f>
              <c:numCache>
                <c:formatCode>0.000</c:formatCode>
                <c:ptCount val="100"/>
                <c:pt idx="0">
                  <c:v>3.7496790832431719</c:v>
                </c:pt>
                <c:pt idx="1">
                  <c:v>3.7496790832431719</c:v>
                </c:pt>
                <c:pt idx="2">
                  <c:v>3.7496790832431719</c:v>
                </c:pt>
                <c:pt idx="3">
                  <c:v>3.7496790832431723</c:v>
                </c:pt>
                <c:pt idx="4">
                  <c:v>3.7496790832431723</c:v>
                </c:pt>
                <c:pt idx="5">
                  <c:v>3.7496790832431723</c:v>
                </c:pt>
                <c:pt idx="6">
                  <c:v>3.7496790832431719</c:v>
                </c:pt>
                <c:pt idx="7">
                  <c:v>3.7496790832431723</c:v>
                </c:pt>
                <c:pt idx="8">
                  <c:v>3.7496790832431719</c:v>
                </c:pt>
                <c:pt idx="9">
                  <c:v>3.7496790832431719</c:v>
                </c:pt>
                <c:pt idx="10">
                  <c:v>3.7873639845417766</c:v>
                </c:pt>
                <c:pt idx="11">
                  <c:v>3.8233207684632093</c:v>
                </c:pt>
                <c:pt idx="12">
                  <c:v>3.8576233496898773</c:v>
                </c:pt>
                <c:pt idx="13">
                  <c:v>3.8903430500840495</c:v>
                </c:pt>
                <c:pt idx="14">
                  <c:v>3.9215486230478027</c:v>
                </c:pt>
                <c:pt idx="15">
                  <c:v>3.9513062874032276</c:v>
                </c:pt>
                <c:pt idx="16">
                  <c:v>3.9796797691469896</c:v>
                </c:pt>
                <c:pt idx="17">
                  <c:v>4.006730349652976</c:v>
                </c:pt>
                <c:pt idx="18">
                  <c:v>4.0325169190877155</c:v>
                </c:pt>
                <c:pt idx="19">
                  <c:v>4.05709603396972</c:v>
                </c:pt>
                <c:pt idx="20">
                  <c:v>4.0805219779489166</c:v>
                </c:pt>
                <c:pt idx="21">
                  <c:v>4.1028468250089611</c:v>
                </c:pt>
                <c:pt idx="22">
                  <c:v>4.1241205044057203</c:v>
                </c:pt>
                <c:pt idx="23">
                  <c:v>4.1443908667518015</c:v>
                </c:pt>
                <c:pt idx="24">
                  <c:v>4.163703750741405</c:v>
                </c:pt>
                <c:pt idx="25">
                  <c:v>4.1821030500835121</c:v>
                </c:pt>
                <c:pt idx="26">
                  <c:v>4.1996307802759336</c:v>
                </c:pt>
                <c:pt idx="27">
                  <c:v>4.2163271449090827</c:v>
                </c:pt>
                <c:pt idx="28">
                  <c:v>4.2322306012376174</c:v>
                </c:pt>
                <c:pt idx="29">
                  <c:v>4.2473779248010608</c:v>
                </c:pt>
                <c:pt idx="30">
                  <c:v>4.2618042729120873</c:v>
                </c:pt>
                <c:pt idx="31">
                  <c:v>4.2755432468638883</c:v>
                </c:pt>
                <c:pt idx="32">
                  <c:v>4.2886269527365224</c:v>
                </c:pt>
                <c:pt idx="33">
                  <c:v>4.3010860607070001</c:v>
                </c:pt>
                <c:pt idx="34">
                  <c:v>4.3129498627893845</c:v>
                </c:pt>
                <c:pt idx="35">
                  <c:v>4.3242463289498421</c:v>
                </c:pt>
                <c:pt idx="36">
                  <c:v>4.335002161557779</c:v>
                </c:pt>
                <c:pt idx="37">
                  <c:v>4.3452428481481142</c:v>
                </c:pt>
                <c:pt idx="38">
                  <c:v>4.3549927124817147</c:v>
                </c:pt>
                <c:pt idx="39">
                  <c:v>4.3642749639013205</c:v>
                </c:pt>
                <c:pt idx="40">
                  <c:v>4.3731117449890347</c:v>
                </c:pt>
                <c:pt idx="41">
                  <c:v>4.381524177538882</c:v>
                </c:pt>
                <c:pt idx="42">
                  <c:v>4.3895324068642569</c:v>
                </c:pt>
                <c:pt idx="43">
                  <c:v>4.3971556444652888</c:v>
                </c:pt>
                <c:pt idx="44">
                  <c:v>4.404412209085554</c:v>
                </c:pt>
                <c:pt idx="45">
                  <c:v>4.4113195661911195</c:v>
                </c:pt>
                <c:pt idx="46">
                  <c:v>4.4178943659078262</c:v>
                </c:pt>
                <c:pt idx="47">
                  <c:v>4.4241524794549747</c:v>
                </c:pt>
                <c:pt idx="48">
                  <c:v>4.430109034115409</c:v>
                </c:pt>
                <c:pt idx="49">
                  <c:v>4.4357784467832619</c:v>
                </c:pt>
                <c:pt idx="50">
                  <c:v>4.4411744561316029</c:v>
                </c:pt>
                <c:pt idx="51">
                  <c:v>4.4463101534427949</c:v>
                </c:pt>
                <c:pt idx="52">
                  <c:v>4.451198012144677</c:v>
                </c:pt>
                <c:pt idx="53">
                  <c:v>4.4558499160957155</c:v>
                </c:pt>
                <c:pt idx="54">
                  <c:v>4.460277186662152</c:v>
                </c:pt>
                <c:pt idx="55">
                  <c:v>4.4644906086297462</c:v>
                </c:pt>
                <c:pt idx="56">
                  <c:v>4.4685004549922684</c:v>
                </c:pt>
                <c:pt idx="57">
                  <c:v>4.472316510658243</c:v>
                </c:pt>
                <c:pt idx="58">
                  <c:v>4.4759480951166841</c:v>
                </c:pt>
                <c:pt idx="59">
                  <c:v>4.4794040841017368</c:v>
                </c:pt>
                <c:pt idx="60">
                  <c:v>4.4826929302952578</c:v>
                </c:pt>
                <c:pt idx="61">
                  <c:v>4.4858226831053623</c:v>
                </c:pt>
                <c:pt idx="62">
                  <c:v>4.4888010075579858</c:v>
                </c:pt>
                <c:pt idx="63">
                  <c:v>4.4916352023374841</c:v>
                </c:pt>
                <c:pt idx="64">
                  <c:v>4.4943322170111601</c:v>
                </c:pt>
                <c:pt idx="65">
                  <c:v>4.4968986684716281</c:v>
                </c:pt>
                <c:pt idx="66">
                  <c:v>4.4993408566297504</c:v>
                </c:pt>
                <c:pt idx="67">
                  <c:v>4.501664779389845</c:v>
                </c:pt>
                <c:pt idx="68">
                  <c:v>4.5038761469377491</c:v>
                </c:pt>
                <c:pt idx="69">
                  <c:v>4.505980395371278</c:v>
                </c:pt>
                <c:pt idx="70">
                  <c:v>4.5079826997015253</c:v>
                </c:pt>
                <c:pt idx="71">
                  <c:v>4.5098879862524113</c:v>
                </c:pt>
                <c:pt idx="72">
                  <c:v>4.5117009444848861</c:v>
                </c:pt>
                <c:pt idx="73">
                  <c:v>4.5134260382711178</c:v>
                </c:pt>
                <c:pt idx="74">
                  <c:v>4.5150675166431053</c:v>
                </c:pt>
                <c:pt idx="75">
                  <c:v>4.5166294240391043</c:v>
                </c:pt>
                <c:pt idx="76">
                  <c:v>4.5181156100703674</c:v>
                </c:pt>
                <c:pt idx="77">
                  <c:v>4.5195297388297888</c:v>
                </c:pt>
                <c:pt idx="78">
                  <c:v>4.5208752977631272</c:v>
                </c:pt>
                <c:pt idx="79">
                  <c:v>4.5221556061226806</c:v>
                </c:pt>
                <c:pt idx="80">
                  <c:v>4.5233738230223866</c:v>
                </c:pt>
                <c:pt idx="81">
                  <c:v>4.5245329551125764</c:v>
                </c:pt>
                <c:pt idx="82">
                  <c:v>4.5256358638918242</c:v>
                </c:pt>
                <c:pt idx="83">
                  <c:v>4.5266852726725597</c:v>
                </c:pt>
                <c:pt idx="84">
                  <c:v>4.5276837732164203</c:v>
                </c:pt>
                <c:pt idx="85">
                  <c:v>4.5286338320546253</c:v>
                </c:pt>
                <c:pt idx="86">
                  <c:v>4.5295377965079471</c:v>
                </c:pt>
                <c:pt idx="87">
                  <c:v>4.530397900420267</c:v>
                </c:pt>
                <c:pt idx="88">
                  <c:v>4.5312162696190477</c:v>
                </c:pt>
                <c:pt idx="89">
                  <c:v>4.5319949271154751</c:v>
                </c:pt>
                <c:pt idx="90">
                  <c:v>4.532735798056434</c:v>
                </c:pt>
                <c:pt idx="91">
                  <c:v>4.5334407144399833</c:v>
                </c:pt>
                <c:pt idx="92">
                  <c:v>4.5341114196053818</c:v>
                </c:pt>
                <c:pt idx="93">
                  <c:v>4.5347495725083391</c:v>
                </c:pt>
                <c:pt idx="94">
                  <c:v>4.5353567517915456</c:v>
                </c:pt>
                <c:pt idx="95">
                  <c:v>4.5359344596601856</c:v>
                </c:pt>
                <c:pt idx="96">
                  <c:v>4.5364841255716399</c:v>
                </c:pt>
                <c:pt idx="97">
                  <c:v>4.5370071097481564</c:v>
                </c:pt>
                <c:pt idx="98">
                  <c:v>4.5375047065209042</c:v>
                </c:pt>
                <c:pt idx="99">
                  <c:v>4.5379781475133889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C-D04B-A55B-47AA646A47E9}"/>
            </c:ext>
          </c:extLst>
        </c:ser>
        <c:ser>
          <c:idx val="1"/>
          <c:order val="1"/>
          <c:tx>
            <c:strRef>
              <c:f>'Solow Model'!$P$4</c:f>
              <c:strCache>
                <c:ptCount val="1"/>
                <c:pt idx="0">
                  <c:v>K/AhL*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'Solow Model'!$P$5:$P$104</c:f>
              <c:numCache>
                <c:formatCode>0.000</c:formatCode>
                <c:ptCount val="100"/>
                <c:pt idx="0">
                  <c:v>3.7496790832431719</c:v>
                </c:pt>
                <c:pt idx="1">
                  <c:v>3.7496790832431719</c:v>
                </c:pt>
                <c:pt idx="2">
                  <c:v>3.7496790832431719</c:v>
                </c:pt>
                <c:pt idx="3">
                  <c:v>3.7496790832431719</c:v>
                </c:pt>
                <c:pt idx="4">
                  <c:v>3.7496790832431719</c:v>
                </c:pt>
                <c:pt idx="5">
                  <c:v>3.7496790832431719</c:v>
                </c:pt>
                <c:pt idx="6">
                  <c:v>3.7496790832431719</c:v>
                </c:pt>
                <c:pt idx="7">
                  <c:v>3.7496790832431719</c:v>
                </c:pt>
                <c:pt idx="8">
                  <c:v>3.7496790832431719</c:v>
                </c:pt>
                <c:pt idx="9">
                  <c:v>3.7496790832431719</c:v>
                </c:pt>
                <c:pt idx="10">
                  <c:v>4.5472542491700629</c:v>
                </c:pt>
                <c:pt idx="11">
                  <c:v>4.5472542491700629</c:v>
                </c:pt>
                <c:pt idx="12">
                  <c:v>4.5472542491700629</c:v>
                </c:pt>
                <c:pt idx="13">
                  <c:v>4.5472542491700629</c:v>
                </c:pt>
                <c:pt idx="14">
                  <c:v>4.5472542491700629</c:v>
                </c:pt>
                <c:pt idx="15">
                  <c:v>4.5472542491700629</c:v>
                </c:pt>
                <c:pt idx="16">
                  <c:v>4.5472542491700629</c:v>
                </c:pt>
                <c:pt idx="17">
                  <c:v>4.5472542491700629</c:v>
                </c:pt>
                <c:pt idx="18">
                  <c:v>4.5472542491700629</c:v>
                </c:pt>
                <c:pt idx="19">
                  <c:v>4.5472542491700629</c:v>
                </c:pt>
                <c:pt idx="20">
                  <c:v>4.5472542491700629</c:v>
                </c:pt>
                <c:pt idx="21">
                  <c:v>4.5472542491700629</c:v>
                </c:pt>
                <c:pt idx="22">
                  <c:v>4.5472542491700629</c:v>
                </c:pt>
                <c:pt idx="23">
                  <c:v>4.5472542491700629</c:v>
                </c:pt>
                <c:pt idx="24">
                  <c:v>4.5472542491700629</c:v>
                </c:pt>
                <c:pt idx="25">
                  <c:v>4.5472542491700629</c:v>
                </c:pt>
                <c:pt idx="26">
                  <c:v>4.5472542491700629</c:v>
                </c:pt>
                <c:pt idx="27">
                  <c:v>4.5472542491700629</c:v>
                </c:pt>
                <c:pt idx="28">
                  <c:v>4.5472542491700629</c:v>
                </c:pt>
                <c:pt idx="29">
                  <c:v>4.5472542491700629</c:v>
                </c:pt>
                <c:pt idx="30">
                  <c:v>4.5472542491700629</c:v>
                </c:pt>
                <c:pt idx="31">
                  <c:v>4.5472542491700629</c:v>
                </c:pt>
                <c:pt idx="32">
                  <c:v>4.5472542491700629</c:v>
                </c:pt>
                <c:pt idx="33">
                  <c:v>4.5472542491700629</c:v>
                </c:pt>
                <c:pt idx="34">
                  <c:v>4.5472542491700629</c:v>
                </c:pt>
                <c:pt idx="35">
                  <c:v>4.5472542491700629</c:v>
                </c:pt>
                <c:pt idx="36">
                  <c:v>4.5472542491700629</c:v>
                </c:pt>
                <c:pt idx="37">
                  <c:v>4.5472542491700629</c:v>
                </c:pt>
                <c:pt idx="38">
                  <c:v>4.5472542491700629</c:v>
                </c:pt>
                <c:pt idx="39">
                  <c:v>4.5472542491700629</c:v>
                </c:pt>
                <c:pt idx="40">
                  <c:v>4.5472542491700629</c:v>
                </c:pt>
                <c:pt idx="41">
                  <c:v>4.5472542491700629</c:v>
                </c:pt>
                <c:pt idx="42">
                  <c:v>4.5472542491700629</c:v>
                </c:pt>
                <c:pt idx="43">
                  <c:v>4.5472542491700629</c:v>
                </c:pt>
                <c:pt idx="44">
                  <c:v>4.5472542491700629</c:v>
                </c:pt>
                <c:pt idx="45">
                  <c:v>4.5472542491700629</c:v>
                </c:pt>
                <c:pt idx="46">
                  <c:v>4.5472542491700629</c:v>
                </c:pt>
                <c:pt idx="47">
                  <c:v>4.5472542491700629</c:v>
                </c:pt>
                <c:pt idx="48">
                  <c:v>4.5472542491700629</c:v>
                </c:pt>
                <c:pt idx="49">
                  <c:v>4.5472542491700629</c:v>
                </c:pt>
                <c:pt idx="50">
                  <c:v>4.5472542491700629</c:v>
                </c:pt>
                <c:pt idx="51">
                  <c:v>4.5472542491700629</c:v>
                </c:pt>
                <c:pt idx="52">
                  <c:v>4.5472542491700629</c:v>
                </c:pt>
                <c:pt idx="53">
                  <c:v>4.5472542491700629</c:v>
                </c:pt>
                <c:pt idx="54">
                  <c:v>4.5472542491700629</c:v>
                </c:pt>
                <c:pt idx="55">
                  <c:v>4.5472542491700629</c:v>
                </c:pt>
                <c:pt idx="56">
                  <c:v>4.5472542491700629</c:v>
                </c:pt>
                <c:pt idx="57">
                  <c:v>4.5472542491700629</c:v>
                </c:pt>
                <c:pt idx="58">
                  <c:v>4.5472542491700629</c:v>
                </c:pt>
                <c:pt idx="59">
                  <c:v>4.5472542491700629</c:v>
                </c:pt>
                <c:pt idx="60">
                  <c:v>4.5472542491700629</c:v>
                </c:pt>
                <c:pt idx="61">
                  <c:v>4.5472542491700629</c:v>
                </c:pt>
                <c:pt idx="62">
                  <c:v>4.5472542491700629</c:v>
                </c:pt>
                <c:pt idx="63">
                  <c:v>4.5472542491700629</c:v>
                </c:pt>
                <c:pt idx="64">
                  <c:v>4.5472542491700629</c:v>
                </c:pt>
                <c:pt idx="65">
                  <c:v>4.5472542491700629</c:v>
                </c:pt>
                <c:pt idx="66">
                  <c:v>4.5472542491700629</c:v>
                </c:pt>
                <c:pt idx="67">
                  <c:v>4.5472542491700629</c:v>
                </c:pt>
                <c:pt idx="68">
                  <c:v>4.5472542491700629</c:v>
                </c:pt>
                <c:pt idx="69">
                  <c:v>4.5472542491700629</c:v>
                </c:pt>
                <c:pt idx="70">
                  <c:v>4.5472542491700629</c:v>
                </c:pt>
                <c:pt idx="71">
                  <c:v>4.5472542491700629</c:v>
                </c:pt>
                <c:pt idx="72">
                  <c:v>4.5472542491700629</c:v>
                </c:pt>
                <c:pt idx="73">
                  <c:v>4.5472542491700629</c:v>
                </c:pt>
                <c:pt idx="74">
                  <c:v>4.5472542491700629</c:v>
                </c:pt>
                <c:pt idx="75">
                  <c:v>4.5472542491700629</c:v>
                </c:pt>
                <c:pt idx="76">
                  <c:v>4.5472542491700629</c:v>
                </c:pt>
                <c:pt idx="77">
                  <c:v>4.5472542491700629</c:v>
                </c:pt>
                <c:pt idx="78">
                  <c:v>4.5472542491700629</c:v>
                </c:pt>
                <c:pt idx="79">
                  <c:v>4.5472542491700629</c:v>
                </c:pt>
                <c:pt idx="80">
                  <c:v>4.5472542491700629</c:v>
                </c:pt>
                <c:pt idx="81">
                  <c:v>4.5472542491700629</c:v>
                </c:pt>
                <c:pt idx="82">
                  <c:v>4.5472542491700629</c:v>
                </c:pt>
                <c:pt idx="83">
                  <c:v>4.5472542491700629</c:v>
                </c:pt>
                <c:pt idx="84">
                  <c:v>4.5472542491700629</c:v>
                </c:pt>
                <c:pt idx="85">
                  <c:v>4.5472542491700629</c:v>
                </c:pt>
                <c:pt idx="86">
                  <c:v>4.5472542491700629</c:v>
                </c:pt>
                <c:pt idx="87">
                  <c:v>4.5472542491700629</c:v>
                </c:pt>
                <c:pt idx="88">
                  <c:v>4.5472542491700629</c:v>
                </c:pt>
                <c:pt idx="89">
                  <c:v>4.5472542491700629</c:v>
                </c:pt>
                <c:pt idx="90">
                  <c:v>4.5472542491700629</c:v>
                </c:pt>
                <c:pt idx="91">
                  <c:v>4.5472542491700629</c:v>
                </c:pt>
                <c:pt idx="92">
                  <c:v>4.5472542491700629</c:v>
                </c:pt>
                <c:pt idx="93">
                  <c:v>4.5472542491700629</c:v>
                </c:pt>
                <c:pt idx="94">
                  <c:v>4.5472542491700629</c:v>
                </c:pt>
                <c:pt idx="95">
                  <c:v>4.5472542491700629</c:v>
                </c:pt>
                <c:pt idx="96">
                  <c:v>4.5472542491700629</c:v>
                </c:pt>
                <c:pt idx="97">
                  <c:v>4.5472542491700629</c:v>
                </c:pt>
                <c:pt idx="98">
                  <c:v>4.5472542491700629</c:v>
                </c:pt>
                <c:pt idx="99">
                  <c:v>4.5472542491700629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C-D04B-A55B-47AA646A4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42272"/>
        <c:axId val="175364960"/>
      </c:lineChart>
      <c:catAx>
        <c:axId val="172042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364960"/>
        <c:crosses val="autoZero"/>
        <c:auto val="1"/>
        <c:lblAlgn val="ctr"/>
        <c:lblOffset val="100"/>
        <c:noMultiLvlLbl val="0"/>
      </c:catAx>
      <c:valAx>
        <c:axId val="17536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K/AL</a:t>
                </a:r>
                <a:r>
                  <a:rPr lang="en-US" baseline="0"/>
                  <a:t> ratio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4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K/AL Dynamics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22233325867094E-2"/>
          <c:y val="3.9711259065793342E-2"/>
          <c:w val="0.87612708695876906"/>
          <c:h val="0.87657018659459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'Solow Model'!$M$4</c:f>
              <c:strCache>
                <c:ptCount val="1"/>
                <c:pt idx="0">
                  <c:v>gK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'Solow Model'!$L$5:$L$104</c:f>
              <c:numCache>
                <c:formatCode>0.000</c:formatCode>
                <c:ptCount val="100"/>
                <c:pt idx="0">
                  <c:v>3.7496790832431719</c:v>
                </c:pt>
                <c:pt idx="1">
                  <c:v>3.7496790832431719</c:v>
                </c:pt>
                <c:pt idx="2">
                  <c:v>3.7496790832431719</c:v>
                </c:pt>
                <c:pt idx="3">
                  <c:v>3.7496790832431723</c:v>
                </c:pt>
                <c:pt idx="4">
                  <c:v>3.7496790832431723</c:v>
                </c:pt>
                <c:pt idx="5">
                  <c:v>3.7496790832431723</c:v>
                </c:pt>
                <c:pt idx="6">
                  <c:v>3.7496790832431719</c:v>
                </c:pt>
                <c:pt idx="7">
                  <c:v>3.7496790832431723</c:v>
                </c:pt>
                <c:pt idx="8">
                  <c:v>3.7496790832431719</c:v>
                </c:pt>
                <c:pt idx="9">
                  <c:v>3.7496790832431719</c:v>
                </c:pt>
                <c:pt idx="10">
                  <c:v>3.7873639845417766</c:v>
                </c:pt>
                <c:pt idx="11">
                  <c:v>3.8233207684632093</c:v>
                </c:pt>
                <c:pt idx="12">
                  <c:v>3.8576233496898773</c:v>
                </c:pt>
                <c:pt idx="13">
                  <c:v>3.8903430500840495</c:v>
                </c:pt>
                <c:pt idx="14">
                  <c:v>3.9215486230478027</c:v>
                </c:pt>
                <c:pt idx="15">
                  <c:v>3.9513062874032276</c:v>
                </c:pt>
                <c:pt idx="16">
                  <c:v>3.9796797691469896</c:v>
                </c:pt>
                <c:pt idx="17">
                  <c:v>4.006730349652976</c:v>
                </c:pt>
                <c:pt idx="18">
                  <c:v>4.0325169190877155</c:v>
                </c:pt>
                <c:pt idx="19">
                  <c:v>4.05709603396972</c:v>
                </c:pt>
                <c:pt idx="20">
                  <c:v>4.0805219779489166</c:v>
                </c:pt>
                <c:pt idx="21">
                  <c:v>4.1028468250089611</c:v>
                </c:pt>
                <c:pt idx="22">
                  <c:v>4.1241205044057203</c:v>
                </c:pt>
                <c:pt idx="23">
                  <c:v>4.1443908667518015</c:v>
                </c:pt>
                <c:pt idx="24">
                  <c:v>4.163703750741405</c:v>
                </c:pt>
                <c:pt idx="25">
                  <c:v>4.1821030500835121</c:v>
                </c:pt>
                <c:pt idx="26">
                  <c:v>4.1996307802759336</c:v>
                </c:pt>
                <c:pt idx="27">
                  <c:v>4.2163271449090827</c:v>
                </c:pt>
                <c:pt idx="28">
                  <c:v>4.2322306012376174</c:v>
                </c:pt>
                <c:pt idx="29">
                  <c:v>4.2473779248010608</c:v>
                </c:pt>
                <c:pt idx="30">
                  <c:v>4.2618042729120873</c:v>
                </c:pt>
                <c:pt idx="31">
                  <c:v>4.2755432468638883</c:v>
                </c:pt>
                <c:pt idx="32">
                  <c:v>4.2886269527365224</c:v>
                </c:pt>
                <c:pt idx="33">
                  <c:v>4.3010860607070001</c:v>
                </c:pt>
                <c:pt idx="34">
                  <c:v>4.3129498627893845</c:v>
                </c:pt>
                <c:pt idx="35">
                  <c:v>4.3242463289498421</c:v>
                </c:pt>
                <c:pt idx="36">
                  <c:v>4.335002161557779</c:v>
                </c:pt>
                <c:pt idx="37">
                  <c:v>4.3452428481481142</c:v>
                </c:pt>
                <c:pt idx="38">
                  <c:v>4.3549927124817147</c:v>
                </c:pt>
                <c:pt idx="39">
                  <c:v>4.3642749639013205</c:v>
                </c:pt>
                <c:pt idx="40">
                  <c:v>4.3731117449890347</c:v>
                </c:pt>
                <c:pt idx="41">
                  <c:v>4.381524177538882</c:v>
                </c:pt>
                <c:pt idx="42">
                  <c:v>4.3895324068642569</c:v>
                </c:pt>
                <c:pt idx="43">
                  <c:v>4.3971556444652888</c:v>
                </c:pt>
                <c:pt idx="44">
                  <c:v>4.404412209085554</c:v>
                </c:pt>
                <c:pt idx="45">
                  <c:v>4.4113195661911195</c:v>
                </c:pt>
                <c:pt idx="46">
                  <c:v>4.4178943659078262</c:v>
                </c:pt>
                <c:pt idx="47">
                  <c:v>4.4241524794549747</c:v>
                </c:pt>
                <c:pt idx="48">
                  <c:v>4.430109034115409</c:v>
                </c:pt>
                <c:pt idx="49">
                  <c:v>4.4357784467832619</c:v>
                </c:pt>
                <c:pt idx="50">
                  <c:v>4.4411744561316029</c:v>
                </c:pt>
                <c:pt idx="51">
                  <c:v>4.4463101534427949</c:v>
                </c:pt>
                <c:pt idx="52">
                  <c:v>4.451198012144677</c:v>
                </c:pt>
                <c:pt idx="53">
                  <c:v>4.4558499160957155</c:v>
                </c:pt>
                <c:pt idx="54">
                  <c:v>4.460277186662152</c:v>
                </c:pt>
                <c:pt idx="55">
                  <c:v>4.4644906086297462</c:v>
                </c:pt>
                <c:pt idx="56">
                  <c:v>4.4685004549922684</c:v>
                </c:pt>
                <c:pt idx="57">
                  <c:v>4.472316510658243</c:v>
                </c:pt>
                <c:pt idx="58">
                  <c:v>4.4759480951166841</c:v>
                </c:pt>
                <c:pt idx="59">
                  <c:v>4.4794040841017368</c:v>
                </c:pt>
                <c:pt idx="60">
                  <c:v>4.4826929302952578</c:v>
                </c:pt>
                <c:pt idx="61">
                  <c:v>4.4858226831053623</c:v>
                </c:pt>
                <c:pt idx="62">
                  <c:v>4.4888010075579858</c:v>
                </c:pt>
                <c:pt idx="63">
                  <c:v>4.4916352023374841</c:v>
                </c:pt>
                <c:pt idx="64">
                  <c:v>4.4943322170111601</c:v>
                </c:pt>
                <c:pt idx="65">
                  <c:v>4.4968986684716281</c:v>
                </c:pt>
                <c:pt idx="66">
                  <c:v>4.4993408566297504</c:v>
                </c:pt>
                <c:pt idx="67">
                  <c:v>4.501664779389845</c:v>
                </c:pt>
                <c:pt idx="68">
                  <c:v>4.5038761469377491</c:v>
                </c:pt>
                <c:pt idx="69">
                  <c:v>4.505980395371278</c:v>
                </c:pt>
                <c:pt idx="70">
                  <c:v>4.5079826997015253</c:v>
                </c:pt>
                <c:pt idx="71">
                  <c:v>4.5098879862524113</c:v>
                </c:pt>
                <c:pt idx="72">
                  <c:v>4.5117009444848861</c:v>
                </c:pt>
                <c:pt idx="73">
                  <c:v>4.5134260382711178</c:v>
                </c:pt>
                <c:pt idx="74">
                  <c:v>4.5150675166431053</c:v>
                </c:pt>
                <c:pt idx="75">
                  <c:v>4.5166294240391043</c:v>
                </c:pt>
                <c:pt idx="76">
                  <c:v>4.5181156100703674</c:v>
                </c:pt>
                <c:pt idx="77">
                  <c:v>4.5195297388297888</c:v>
                </c:pt>
                <c:pt idx="78">
                  <c:v>4.5208752977631272</c:v>
                </c:pt>
                <c:pt idx="79">
                  <c:v>4.5221556061226806</c:v>
                </c:pt>
                <c:pt idx="80">
                  <c:v>4.5233738230223866</c:v>
                </c:pt>
                <c:pt idx="81">
                  <c:v>4.5245329551125764</c:v>
                </c:pt>
                <c:pt idx="82">
                  <c:v>4.5256358638918242</c:v>
                </c:pt>
                <c:pt idx="83">
                  <c:v>4.5266852726725597</c:v>
                </c:pt>
                <c:pt idx="84">
                  <c:v>4.5276837732164203</c:v>
                </c:pt>
                <c:pt idx="85">
                  <c:v>4.5286338320546253</c:v>
                </c:pt>
                <c:pt idx="86">
                  <c:v>4.5295377965079471</c:v>
                </c:pt>
                <c:pt idx="87">
                  <c:v>4.530397900420267</c:v>
                </c:pt>
                <c:pt idx="88">
                  <c:v>4.5312162696190477</c:v>
                </c:pt>
                <c:pt idx="89">
                  <c:v>4.5319949271154751</c:v>
                </c:pt>
                <c:pt idx="90">
                  <c:v>4.532735798056434</c:v>
                </c:pt>
                <c:pt idx="91">
                  <c:v>4.5334407144399833</c:v>
                </c:pt>
                <c:pt idx="92">
                  <c:v>4.5341114196053818</c:v>
                </c:pt>
                <c:pt idx="93">
                  <c:v>4.5347495725083391</c:v>
                </c:pt>
                <c:pt idx="94">
                  <c:v>4.5353567517915456</c:v>
                </c:pt>
                <c:pt idx="95">
                  <c:v>4.5359344596601856</c:v>
                </c:pt>
                <c:pt idx="96">
                  <c:v>4.5364841255716399</c:v>
                </c:pt>
                <c:pt idx="97">
                  <c:v>4.5370071097481564</c:v>
                </c:pt>
                <c:pt idx="98">
                  <c:v>4.5375047065209042</c:v>
                </c:pt>
                <c:pt idx="99">
                  <c:v>4.5379781475133889</c:v>
                </c:pt>
              </c:numCache>
            </c:numRef>
          </c:xVal>
          <c:yVal>
            <c:numRef>
              <c:f>'Solow Model'!$M$5:$M$104</c:f>
              <c:numCache>
                <c:formatCode>0.000</c:formatCode>
                <c:ptCount val="100"/>
                <c:pt idx="0">
                  <c:v>3.2500000000000015E-2</c:v>
                </c:pt>
                <c:pt idx="1">
                  <c:v>3.2500000000000015E-2</c:v>
                </c:pt>
                <c:pt idx="2">
                  <c:v>3.2500000000000015E-2</c:v>
                </c:pt>
                <c:pt idx="3">
                  <c:v>3.2499999999999987E-2</c:v>
                </c:pt>
                <c:pt idx="4">
                  <c:v>3.2499999999999987E-2</c:v>
                </c:pt>
                <c:pt idx="5">
                  <c:v>3.2499999999999987E-2</c:v>
                </c:pt>
                <c:pt idx="6">
                  <c:v>3.2500000000000015E-2</c:v>
                </c:pt>
                <c:pt idx="7">
                  <c:v>3.2499999999999987E-2</c:v>
                </c:pt>
                <c:pt idx="8">
                  <c:v>3.2500000000000015E-2</c:v>
                </c:pt>
                <c:pt idx="9">
                  <c:v>3.2500000000000015E-2</c:v>
                </c:pt>
                <c:pt idx="10">
                  <c:v>3.1949097583926431E-2</c:v>
                </c:pt>
                <c:pt idx="11">
                  <c:v>3.1431925229934599E-2</c:v>
                </c:pt>
                <c:pt idx="12">
                  <c:v>3.094606009195397E-2</c:v>
                </c:pt>
                <c:pt idx="13">
                  <c:v>3.0489291263565227E-2</c:v>
                </c:pt>
                <c:pt idx="14">
                  <c:v>3.0059597225775989E-2</c:v>
                </c:pt>
                <c:pt idx="15">
                  <c:v>2.9655126132280704E-2</c:v>
                </c:pt>
                <c:pt idx="16">
                  <c:v>2.9274178522843267E-2</c:v>
                </c:pt>
                <c:pt idx="17">
                  <c:v>2.8915192121647615E-2</c:v>
                </c:pt>
                <c:pt idx="18">
                  <c:v>2.8576728431855977E-2</c:v>
                </c:pt>
                <c:pt idx="19">
                  <c:v>2.8257460882487082E-2</c:v>
                </c:pt>
                <c:pt idx="20">
                  <c:v>2.7956164320901492E-2</c:v>
                </c:pt>
                <c:pt idx="21">
                  <c:v>2.7671705675095429E-2</c:v>
                </c:pt>
                <c:pt idx="22">
                  <c:v>2.7403035635811382E-2</c:v>
                </c:pt>
                <c:pt idx="23">
                  <c:v>2.7149181230092176E-2</c:v>
                </c:pt>
                <c:pt idx="24">
                  <c:v>2.6909239176079583E-2</c:v>
                </c:pt>
                <c:pt idx="25">
                  <c:v>2.6682369924187474E-2</c:v>
                </c:pt>
                <c:pt idx="26">
                  <c:v>2.6467792302749246E-2</c:v>
                </c:pt>
                <c:pt idx="27">
                  <c:v>2.6264778697247124E-2</c:v>
                </c:pt>
                <c:pt idx="28">
                  <c:v>2.6072650701602099E-2</c:v>
                </c:pt>
                <c:pt idx="29">
                  <c:v>2.5890775188001855E-2</c:v>
                </c:pt>
                <c:pt idx="30">
                  <c:v>2.5718560748592079E-2</c:v>
                </c:pt>
                <c:pt idx="31">
                  <c:v>2.5555454468232972E-2</c:v>
                </c:pt>
                <c:pt idx="32">
                  <c:v>2.540093899258121E-2</c:v>
                </c:pt>
                <c:pt idx="33">
                  <c:v>2.5254529860118433E-2</c:v>
                </c:pt>
                <c:pt idx="34">
                  <c:v>2.5115773070520542E-2</c:v>
                </c:pt>
                <c:pt idx="35">
                  <c:v>2.4984242865031134E-2</c:v>
                </c:pt>
                <c:pt idx="36">
                  <c:v>2.4859539697341171E-2</c:v>
                </c:pt>
                <c:pt idx="37">
                  <c:v>2.4741288375950146E-2</c:v>
                </c:pt>
                <c:pt idx="38">
                  <c:v>2.4629136361139517E-2</c:v>
                </c:pt>
                <c:pt idx="39">
                  <c:v>2.4522752201574224E-2</c:v>
                </c:pt>
                <c:pt idx="40">
                  <c:v>2.442182409719898E-2</c:v>
                </c:pt>
                <c:pt idx="41">
                  <c:v>2.4326058576544893E-2</c:v>
                </c:pt>
                <c:pt idx="42">
                  <c:v>2.4235179277834723E-2</c:v>
                </c:pt>
                <c:pt idx="43">
                  <c:v>2.4148925824397816E-2</c:v>
                </c:pt>
                <c:pt idx="44">
                  <c:v>2.4067052785894411E-2</c:v>
                </c:pt>
                <c:pt idx="45">
                  <c:v>2.3989328717724231E-2</c:v>
                </c:pt>
                <c:pt idx="46">
                  <c:v>2.3915535271767999E-2</c:v>
                </c:pt>
                <c:pt idx="47">
                  <c:v>2.3845466372297772E-2</c:v>
                </c:pt>
                <c:pt idx="48">
                  <c:v>2.37789274515008E-2</c:v>
                </c:pt>
                <c:pt idx="49">
                  <c:v>2.3715734739604671E-2</c:v>
                </c:pt>
                <c:pt idx="50">
                  <c:v>2.3655714605074096E-2</c:v>
                </c:pt>
                <c:pt idx="51">
                  <c:v>2.3598702940781202E-2</c:v>
                </c:pt>
                <c:pt idx="52">
                  <c:v>2.354454459243524E-2</c:v>
                </c:pt>
                <c:pt idx="53">
                  <c:v>2.3493092825903589E-2</c:v>
                </c:pt>
                <c:pt idx="54">
                  <c:v>2.3444208830362717E-2</c:v>
                </c:pt>
                <c:pt idx="55">
                  <c:v>2.3397761254496399E-2</c:v>
                </c:pt>
                <c:pt idx="56">
                  <c:v>2.3353625773205849E-2</c:v>
                </c:pt>
                <c:pt idx="57">
                  <c:v>2.3311684682520636E-2</c:v>
                </c:pt>
                <c:pt idx="58">
                  <c:v>2.3271826520600489E-2</c:v>
                </c:pt>
                <c:pt idx="59">
                  <c:v>2.3233945712900314E-2</c:v>
                </c:pt>
                <c:pt idx="60">
                  <c:v>2.3197942239733607E-2</c:v>
                </c:pt>
                <c:pt idx="61">
                  <c:v>2.3163721324618622E-2</c:v>
                </c:pt>
                <c:pt idx="62">
                  <c:v>2.3131193141925771E-2</c:v>
                </c:pt>
                <c:pt idx="63">
                  <c:v>2.3100272542464856E-2</c:v>
                </c:pt>
                <c:pt idx="64">
                  <c:v>2.3070878795763722E-2</c:v>
                </c:pt>
                <c:pt idx="65">
                  <c:v>2.3042935347886359E-2</c:v>
                </c:pt>
                <c:pt idx="66">
                  <c:v>2.3016369593733238E-2</c:v>
                </c:pt>
                <c:pt idx="67">
                  <c:v>2.2991112662846383E-2</c:v>
                </c:pt>
                <c:pt idx="68">
                  <c:v>2.2967099217819212E-2</c:v>
                </c:pt>
                <c:pt idx="69">
                  <c:v>2.2944267264478693E-2</c:v>
                </c:pt>
                <c:pt idx="70">
                  <c:v>2.2922557973071106E-2</c:v>
                </c:pt>
                <c:pt idx="71">
                  <c:v>2.2901915509739412E-2</c:v>
                </c:pt>
                <c:pt idx="72">
                  <c:v>2.2882286877633135E-2</c:v>
                </c:pt>
                <c:pt idx="73">
                  <c:v>2.2863621767040099E-2</c:v>
                </c:pt>
                <c:pt idx="74">
                  <c:v>2.2845872413972096E-2</c:v>
                </c:pt>
                <c:pt idx="75">
                  <c:v>2.2828993466679368E-2</c:v>
                </c:pt>
                <c:pt idx="76">
                  <c:v>2.2812941859603392E-2</c:v>
                </c:pt>
                <c:pt idx="77">
                  <c:v>2.2797676694313637E-2</c:v>
                </c:pt>
                <c:pt idx="78">
                  <c:v>2.2783159127004252E-2</c:v>
                </c:pt>
                <c:pt idx="79">
                  <c:v>2.2769352262156164E-2</c:v>
                </c:pt>
                <c:pt idx="80">
                  <c:v>2.2756221051996581E-2</c:v>
                </c:pt>
                <c:pt idx="81">
                  <c:v>2.274373220141275E-2</c:v>
                </c:pt>
                <c:pt idx="82">
                  <c:v>2.2731854077999075E-2</c:v>
                </c:pt>
                <c:pt idx="83">
                  <c:v>2.2720556626938573E-2</c:v>
                </c:pt>
                <c:pt idx="84">
                  <c:v>2.270981129043835E-2</c:v>
                </c:pt>
                <c:pt idx="85">
                  <c:v>2.269959093145732E-2</c:v>
                </c:pt>
                <c:pt idx="86">
                  <c:v>2.2689869761480727E-2</c:v>
                </c:pt>
                <c:pt idx="87">
                  <c:v>2.268062327211226E-2</c:v>
                </c:pt>
                <c:pt idx="88">
                  <c:v>2.2671828170267666E-2</c:v>
                </c:pt>
                <c:pt idx="89">
                  <c:v>2.2663462316768579E-2</c:v>
                </c:pt>
                <c:pt idx="90">
                  <c:v>2.2655504668146934E-2</c:v>
                </c:pt>
                <c:pt idx="91">
                  <c:v>2.2647935221481563E-2</c:v>
                </c:pt>
                <c:pt idx="92">
                  <c:v>2.2640734962100673E-2</c:v>
                </c:pt>
                <c:pt idx="93">
                  <c:v>2.2633885813992297E-2</c:v>
                </c:pt>
                <c:pt idx="94">
                  <c:v>2.2627370592775559E-2</c:v>
                </c:pt>
                <c:pt idx="95">
                  <c:v>2.2621172961093408E-2</c:v>
                </c:pt>
                <c:pt idx="96">
                  <c:v>2.261527738629629E-2</c:v>
                </c:pt>
                <c:pt idx="97">
                  <c:v>2.2609669100293314E-2</c:v>
                </c:pt>
                <c:pt idx="98">
                  <c:v>2.2604334061454984E-2</c:v>
                </c:pt>
                <c:pt idx="99">
                  <c:v>2.2599258918458237E-2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38-FF41-B279-7B1368B22029}"/>
            </c:ext>
          </c:extLst>
        </c:ser>
        <c:ser>
          <c:idx val="1"/>
          <c:order val="1"/>
          <c:tx>
            <c:strRef>
              <c:f>'Solow Model'!$N$4</c:f>
              <c:strCache>
                <c:ptCount val="1"/>
                <c:pt idx="0">
                  <c:v>gAh+gL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'Solow Model'!$L$5:$L$104</c:f>
              <c:numCache>
                <c:formatCode>0.000</c:formatCode>
                <c:ptCount val="100"/>
                <c:pt idx="0">
                  <c:v>3.7496790832431719</c:v>
                </c:pt>
                <c:pt idx="1">
                  <c:v>3.7496790832431719</c:v>
                </c:pt>
                <c:pt idx="2">
                  <c:v>3.7496790832431719</c:v>
                </c:pt>
                <c:pt idx="3">
                  <c:v>3.7496790832431723</c:v>
                </c:pt>
                <c:pt idx="4">
                  <c:v>3.7496790832431723</c:v>
                </c:pt>
                <c:pt idx="5">
                  <c:v>3.7496790832431723</c:v>
                </c:pt>
                <c:pt idx="6">
                  <c:v>3.7496790832431719</c:v>
                </c:pt>
                <c:pt idx="7">
                  <c:v>3.7496790832431723</c:v>
                </c:pt>
                <c:pt idx="8">
                  <c:v>3.7496790832431719</c:v>
                </c:pt>
                <c:pt idx="9">
                  <c:v>3.7496790832431719</c:v>
                </c:pt>
                <c:pt idx="10">
                  <c:v>3.7873639845417766</c:v>
                </c:pt>
                <c:pt idx="11">
                  <c:v>3.8233207684632093</c:v>
                </c:pt>
                <c:pt idx="12">
                  <c:v>3.8576233496898773</c:v>
                </c:pt>
                <c:pt idx="13">
                  <c:v>3.8903430500840495</c:v>
                </c:pt>
                <c:pt idx="14">
                  <c:v>3.9215486230478027</c:v>
                </c:pt>
                <c:pt idx="15">
                  <c:v>3.9513062874032276</c:v>
                </c:pt>
                <c:pt idx="16">
                  <c:v>3.9796797691469896</c:v>
                </c:pt>
                <c:pt idx="17">
                  <c:v>4.006730349652976</c:v>
                </c:pt>
                <c:pt idx="18">
                  <c:v>4.0325169190877155</c:v>
                </c:pt>
                <c:pt idx="19">
                  <c:v>4.05709603396972</c:v>
                </c:pt>
                <c:pt idx="20">
                  <c:v>4.0805219779489166</c:v>
                </c:pt>
                <c:pt idx="21">
                  <c:v>4.1028468250089611</c:v>
                </c:pt>
                <c:pt idx="22">
                  <c:v>4.1241205044057203</c:v>
                </c:pt>
                <c:pt idx="23">
                  <c:v>4.1443908667518015</c:v>
                </c:pt>
                <c:pt idx="24">
                  <c:v>4.163703750741405</c:v>
                </c:pt>
                <c:pt idx="25">
                  <c:v>4.1821030500835121</c:v>
                </c:pt>
                <c:pt idx="26">
                  <c:v>4.1996307802759336</c:v>
                </c:pt>
                <c:pt idx="27">
                  <c:v>4.2163271449090827</c:v>
                </c:pt>
                <c:pt idx="28">
                  <c:v>4.2322306012376174</c:v>
                </c:pt>
                <c:pt idx="29">
                  <c:v>4.2473779248010608</c:v>
                </c:pt>
                <c:pt idx="30">
                  <c:v>4.2618042729120873</c:v>
                </c:pt>
                <c:pt idx="31">
                  <c:v>4.2755432468638883</c:v>
                </c:pt>
                <c:pt idx="32">
                  <c:v>4.2886269527365224</c:v>
                </c:pt>
                <c:pt idx="33">
                  <c:v>4.3010860607070001</c:v>
                </c:pt>
                <c:pt idx="34">
                  <c:v>4.3129498627893845</c:v>
                </c:pt>
                <c:pt idx="35">
                  <c:v>4.3242463289498421</c:v>
                </c:pt>
                <c:pt idx="36">
                  <c:v>4.335002161557779</c:v>
                </c:pt>
                <c:pt idx="37">
                  <c:v>4.3452428481481142</c:v>
                </c:pt>
                <c:pt idx="38">
                  <c:v>4.3549927124817147</c:v>
                </c:pt>
                <c:pt idx="39">
                  <c:v>4.3642749639013205</c:v>
                </c:pt>
                <c:pt idx="40">
                  <c:v>4.3731117449890347</c:v>
                </c:pt>
                <c:pt idx="41">
                  <c:v>4.381524177538882</c:v>
                </c:pt>
                <c:pt idx="42">
                  <c:v>4.3895324068642569</c:v>
                </c:pt>
                <c:pt idx="43">
                  <c:v>4.3971556444652888</c:v>
                </c:pt>
                <c:pt idx="44">
                  <c:v>4.404412209085554</c:v>
                </c:pt>
                <c:pt idx="45">
                  <c:v>4.4113195661911195</c:v>
                </c:pt>
                <c:pt idx="46">
                  <c:v>4.4178943659078262</c:v>
                </c:pt>
                <c:pt idx="47">
                  <c:v>4.4241524794549747</c:v>
                </c:pt>
                <c:pt idx="48">
                  <c:v>4.430109034115409</c:v>
                </c:pt>
                <c:pt idx="49">
                  <c:v>4.4357784467832619</c:v>
                </c:pt>
                <c:pt idx="50">
                  <c:v>4.4411744561316029</c:v>
                </c:pt>
                <c:pt idx="51">
                  <c:v>4.4463101534427949</c:v>
                </c:pt>
                <c:pt idx="52">
                  <c:v>4.451198012144677</c:v>
                </c:pt>
                <c:pt idx="53">
                  <c:v>4.4558499160957155</c:v>
                </c:pt>
                <c:pt idx="54">
                  <c:v>4.460277186662152</c:v>
                </c:pt>
                <c:pt idx="55">
                  <c:v>4.4644906086297462</c:v>
                </c:pt>
                <c:pt idx="56">
                  <c:v>4.4685004549922684</c:v>
                </c:pt>
                <c:pt idx="57">
                  <c:v>4.472316510658243</c:v>
                </c:pt>
                <c:pt idx="58">
                  <c:v>4.4759480951166841</c:v>
                </c:pt>
                <c:pt idx="59">
                  <c:v>4.4794040841017368</c:v>
                </c:pt>
                <c:pt idx="60">
                  <c:v>4.4826929302952578</c:v>
                </c:pt>
                <c:pt idx="61">
                  <c:v>4.4858226831053623</c:v>
                </c:pt>
                <c:pt idx="62">
                  <c:v>4.4888010075579858</c:v>
                </c:pt>
                <c:pt idx="63">
                  <c:v>4.4916352023374841</c:v>
                </c:pt>
                <c:pt idx="64">
                  <c:v>4.4943322170111601</c:v>
                </c:pt>
                <c:pt idx="65">
                  <c:v>4.4968986684716281</c:v>
                </c:pt>
                <c:pt idx="66">
                  <c:v>4.4993408566297504</c:v>
                </c:pt>
                <c:pt idx="67">
                  <c:v>4.501664779389845</c:v>
                </c:pt>
                <c:pt idx="68">
                  <c:v>4.5038761469377491</c:v>
                </c:pt>
                <c:pt idx="69">
                  <c:v>4.505980395371278</c:v>
                </c:pt>
                <c:pt idx="70">
                  <c:v>4.5079826997015253</c:v>
                </c:pt>
                <c:pt idx="71">
                  <c:v>4.5098879862524113</c:v>
                </c:pt>
                <c:pt idx="72">
                  <c:v>4.5117009444848861</c:v>
                </c:pt>
                <c:pt idx="73">
                  <c:v>4.5134260382711178</c:v>
                </c:pt>
                <c:pt idx="74">
                  <c:v>4.5150675166431053</c:v>
                </c:pt>
                <c:pt idx="75">
                  <c:v>4.5166294240391043</c:v>
                </c:pt>
                <c:pt idx="76">
                  <c:v>4.5181156100703674</c:v>
                </c:pt>
                <c:pt idx="77">
                  <c:v>4.5195297388297888</c:v>
                </c:pt>
                <c:pt idx="78">
                  <c:v>4.5208752977631272</c:v>
                </c:pt>
                <c:pt idx="79">
                  <c:v>4.5221556061226806</c:v>
                </c:pt>
                <c:pt idx="80">
                  <c:v>4.5233738230223866</c:v>
                </c:pt>
                <c:pt idx="81">
                  <c:v>4.5245329551125764</c:v>
                </c:pt>
                <c:pt idx="82">
                  <c:v>4.5256358638918242</c:v>
                </c:pt>
                <c:pt idx="83">
                  <c:v>4.5266852726725597</c:v>
                </c:pt>
                <c:pt idx="84">
                  <c:v>4.5276837732164203</c:v>
                </c:pt>
                <c:pt idx="85">
                  <c:v>4.5286338320546253</c:v>
                </c:pt>
                <c:pt idx="86">
                  <c:v>4.5295377965079471</c:v>
                </c:pt>
                <c:pt idx="87">
                  <c:v>4.530397900420267</c:v>
                </c:pt>
                <c:pt idx="88">
                  <c:v>4.5312162696190477</c:v>
                </c:pt>
                <c:pt idx="89">
                  <c:v>4.5319949271154751</c:v>
                </c:pt>
                <c:pt idx="90">
                  <c:v>4.532735798056434</c:v>
                </c:pt>
                <c:pt idx="91">
                  <c:v>4.5334407144399833</c:v>
                </c:pt>
                <c:pt idx="92">
                  <c:v>4.5341114196053818</c:v>
                </c:pt>
                <c:pt idx="93">
                  <c:v>4.5347495725083391</c:v>
                </c:pt>
                <c:pt idx="94">
                  <c:v>4.5353567517915456</c:v>
                </c:pt>
                <c:pt idx="95">
                  <c:v>4.5359344596601856</c:v>
                </c:pt>
                <c:pt idx="96">
                  <c:v>4.5364841255716399</c:v>
                </c:pt>
                <c:pt idx="97">
                  <c:v>4.5370071097481564</c:v>
                </c:pt>
                <c:pt idx="98">
                  <c:v>4.5375047065209042</c:v>
                </c:pt>
                <c:pt idx="99">
                  <c:v>4.5379781475133889</c:v>
                </c:pt>
              </c:numCache>
            </c:numRef>
          </c:xVal>
          <c:yVal>
            <c:numRef>
              <c:f>'Solow Model'!$N$4:$N$104</c:f>
              <c:numCache>
                <c:formatCode>0.000</c:formatCode>
                <c:ptCount val="101"/>
                <c:pt idx="0">
                  <c:v>0</c:v>
                </c:pt>
                <c:pt idx="1">
                  <c:v>3.2500000000000001E-2</c:v>
                </c:pt>
                <c:pt idx="2">
                  <c:v>3.2500000000000001E-2</c:v>
                </c:pt>
                <c:pt idx="3">
                  <c:v>3.2500000000000001E-2</c:v>
                </c:pt>
                <c:pt idx="4">
                  <c:v>3.2500000000000001E-2</c:v>
                </c:pt>
                <c:pt idx="5">
                  <c:v>3.2500000000000001E-2</c:v>
                </c:pt>
                <c:pt idx="6">
                  <c:v>3.2500000000000001E-2</c:v>
                </c:pt>
                <c:pt idx="7">
                  <c:v>3.2500000000000001E-2</c:v>
                </c:pt>
                <c:pt idx="8">
                  <c:v>3.2500000000000001E-2</c:v>
                </c:pt>
                <c:pt idx="9">
                  <c:v>3.2500000000000001E-2</c:v>
                </c:pt>
                <c:pt idx="10">
                  <c:v>3.2500000000000001E-2</c:v>
                </c:pt>
                <c:pt idx="11">
                  <c:v>2.2499999999999999E-2</c:v>
                </c:pt>
                <c:pt idx="12">
                  <c:v>2.2499999999999999E-2</c:v>
                </c:pt>
                <c:pt idx="13">
                  <c:v>2.2499999999999999E-2</c:v>
                </c:pt>
                <c:pt idx="14">
                  <c:v>2.2499999999999999E-2</c:v>
                </c:pt>
                <c:pt idx="15">
                  <c:v>2.2499999999999999E-2</c:v>
                </c:pt>
                <c:pt idx="16">
                  <c:v>2.2499999999999999E-2</c:v>
                </c:pt>
                <c:pt idx="17">
                  <c:v>2.2499999999999999E-2</c:v>
                </c:pt>
                <c:pt idx="18">
                  <c:v>2.2499999999999999E-2</c:v>
                </c:pt>
                <c:pt idx="19">
                  <c:v>2.2499999999999999E-2</c:v>
                </c:pt>
                <c:pt idx="20">
                  <c:v>2.2499999999999999E-2</c:v>
                </c:pt>
                <c:pt idx="21">
                  <c:v>2.2499999999999999E-2</c:v>
                </c:pt>
                <c:pt idx="22">
                  <c:v>2.2499999999999999E-2</c:v>
                </c:pt>
                <c:pt idx="23">
                  <c:v>2.2499999999999999E-2</c:v>
                </c:pt>
                <c:pt idx="24">
                  <c:v>2.2499999999999999E-2</c:v>
                </c:pt>
                <c:pt idx="25">
                  <c:v>2.2499999999999999E-2</c:v>
                </c:pt>
                <c:pt idx="26">
                  <c:v>2.2499999999999999E-2</c:v>
                </c:pt>
                <c:pt idx="27">
                  <c:v>2.2499999999999999E-2</c:v>
                </c:pt>
                <c:pt idx="28">
                  <c:v>2.2499999999999999E-2</c:v>
                </c:pt>
                <c:pt idx="29">
                  <c:v>2.2499999999999999E-2</c:v>
                </c:pt>
                <c:pt idx="30">
                  <c:v>2.2499999999999999E-2</c:v>
                </c:pt>
                <c:pt idx="31">
                  <c:v>2.2499999999999999E-2</c:v>
                </c:pt>
                <c:pt idx="32">
                  <c:v>2.2499999999999999E-2</c:v>
                </c:pt>
                <c:pt idx="33">
                  <c:v>2.2499999999999999E-2</c:v>
                </c:pt>
                <c:pt idx="34">
                  <c:v>2.2499999999999999E-2</c:v>
                </c:pt>
                <c:pt idx="35">
                  <c:v>2.2499999999999999E-2</c:v>
                </c:pt>
                <c:pt idx="36">
                  <c:v>2.2499999999999999E-2</c:v>
                </c:pt>
                <c:pt idx="37">
                  <c:v>2.2499999999999999E-2</c:v>
                </c:pt>
                <c:pt idx="38">
                  <c:v>2.2499999999999999E-2</c:v>
                </c:pt>
                <c:pt idx="39">
                  <c:v>2.2499999999999999E-2</c:v>
                </c:pt>
                <c:pt idx="40">
                  <c:v>2.2499999999999999E-2</c:v>
                </c:pt>
                <c:pt idx="41">
                  <c:v>2.2499999999999999E-2</c:v>
                </c:pt>
                <c:pt idx="42">
                  <c:v>2.2499999999999999E-2</c:v>
                </c:pt>
                <c:pt idx="43">
                  <c:v>2.2499999999999999E-2</c:v>
                </c:pt>
                <c:pt idx="44">
                  <c:v>2.2499999999999999E-2</c:v>
                </c:pt>
                <c:pt idx="45">
                  <c:v>2.2499999999999999E-2</c:v>
                </c:pt>
                <c:pt idx="46">
                  <c:v>2.2499999999999999E-2</c:v>
                </c:pt>
                <c:pt idx="47">
                  <c:v>2.2499999999999999E-2</c:v>
                </c:pt>
                <c:pt idx="48">
                  <c:v>2.2499999999999999E-2</c:v>
                </c:pt>
                <c:pt idx="49">
                  <c:v>2.2499999999999999E-2</c:v>
                </c:pt>
                <c:pt idx="50">
                  <c:v>2.2499999999999999E-2</c:v>
                </c:pt>
                <c:pt idx="51">
                  <c:v>2.2499999999999999E-2</c:v>
                </c:pt>
                <c:pt idx="52">
                  <c:v>2.2499999999999999E-2</c:v>
                </c:pt>
                <c:pt idx="53">
                  <c:v>2.2499999999999999E-2</c:v>
                </c:pt>
                <c:pt idx="54">
                  <c:v>2.2499999999999999E-2</c:v>
                </c:pt>
                <c:pt idx="55">
                  <c:v>2.2499999999999999E-2</c:v>
                </c:pt>
                <c:pt idx="56">
                  <c:v>2.2499999999999999E-2</c:v>
                </c:pt>
                <c:pt idx="57">
                  <c:v>2.2499999999999999E-2</c:v>
                </c:pt>
                <c:pt idx="58">
                  <c:v>2.2499999999999999E-2</c:v>
                </c:pt>
                <c:pt idx="59">
                  <c:v>2.2499999999999999E-2</c:v>
                </c:pt>
                <c:pt idx="60">
                  <c:v>2.2499999999999999E-2</c:v>
                </c:pt>
                <c:pt idx="61">
                  <c:v>2.2499999999999999E-2</c:v>
                </c:pt>
                <c:pt idx="62">
                  <c:v>2.2499999999999999E-2</c:v>
                </c:pt>
                <c:pt idx="63">
                  <c:v>2.2499999999999999E-2</c:v>
                </c:pt>
                <c:pt idx="64">
                  <c:v>2.2499999999999999E-2</c:v>
                </c:pt>
                <c:pt idx="65">
                  <c:v>2.2499999999999999E-2</c:v>
                </c:pt>
                <c:pt idx="66">
                  <c:v>2.2499999999999999E-2</c:v>
                </c:pt>
                <c:pt idx="67">
                  <c:v>2.2499999999999999E-2</c:v>
                </c:pt>
                <c:pt idx="68">
                  <c:v>2.2499999999999999E-2</c:v>
                </c:pt>
                <c:pt idx="69">
                  <c:v>2.2499999999999999E-2</c:v>
                </c:pt>
                <c:pt idx="70">
                  <c:v>2.2499999999999999E-2</c:v>
                </c:pt>
                <c:pt idx="71">
                  <c:v>2.2499999999999999E-2</c:v>
                </c:pt>
                <c:pt idx="72">
                  <c:v>2.2499999999999999E-2</c:v>
                </c:pt>
                <c:pt idx="73">
                  <c:v>2.2499999999999999E-2</c:v>
                </c:pt>
                <c:pt idx="74">
                  <c:v>2.2499999999999999E-2</c:v>
                </c:pt>
                <c:pt idx="75">
                  <c:v>2.2499999999999999E-2</c:v>
                </c:pt>
                <c:pt idx="76">
                  <c:v>2.2499999999999999E-2</c:v>
                </c:pt>
                <c:pt idx="77">
                  <c:v>2.2499999999999999E-2</c:v>
                </c:pt>
                <c:pt idx="78">
                  <c:v>2.2499999999999999E-2</c:v>
                </c:pt>
                <c:pt idx="79">
                  <c:v>2.2499999999999999E-2</c:v>
                </c:pt>
                <c:pt idx="80">
                  <c:v>2.2499999999999999E-2</c:v>
                </c:pt>
                <c:pt idx="81">
                  <c:v>2.2499999999999999E-2</c:v>
                </c:pt>
                <c:pt idx="82">
                  <c:v>2.2499999999999999E-2</c:v>
                </c:pt>
                <c:pt idx="83">
                  <c:v>2.2499999999999999E-2</c:v>
                </c:pt>
                <c:pt idx="84">
                  <c:v>2.2499999999999999E-2</c:v>
                </c:pt>
                <c:pt idx="85">
                  <c:v>2.2499999999999999E-2</c:v>
                </c:pt>
                <c:pt idx="86">
                  <c:v>2.2499999999999999E-2</c:v>
                </c:pt>
                <c:pt idx="87">
                  <c:v>2.2499999999999999E-2</c:v>
                </c:pt>
                <c:pt idx="88">
                  <c:v>2.2499999999999999E-2</c:v>
                </c:pt>
                <c:pt idx="89">
                  <c:v>2.2499999999999999E-2</c:v>
                </c:pt>
                <c:pt idx="90">
                  <c:v>2.2499999999999999E-2</c:v>
                </c:pt>
                <c:pt idx="91">
                  <c:v>2.2499999999999999E-2</c:v>
                </c:pt>
                <c:pt idx="92">
                  <c:v>2.2499999999999999E-2</c:v>
                </c:pt>
                <c:pt idx="93">
                  <c:v>2.2499999999999999E-2</c:v>
                </c:pt>
                <c:pt idx="94">
                  <c:v>2.2499999999999999E-2</c:v>
                </c:pt>
                <c:pt idx="95">
                  <c:v>2.2499999999999999E-2</c:v>
                </c:pt>
                <c:pt idx="96">
                  <c:v>2.2499999999999999E-2</c:v>
                </c:pt>
                <c:pt idx="97">
                  <c:v>2.2499999999999999E-2</c:v>
                </c:pt>
                <c:pt idx="98">
                  <c:v>2.2499999999999999E-2</c:v>
                </c:pt>
                <c:pt idx="99">
                  <c:v>2.2499999999999999E-2</c:v>
                </c:pt>
                <c:pt idx="100">
                  <c:v>2.2499999999999999E-2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38-FF41-B279-7B1368B22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9279040"/>
        <c:axId val="1779282176"/>
      </c:scatterChart>
      <c:valAx>
        <c:axId val="1779279040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K/AL</a:t>
                </a:r>
                <a:r>
                  <a:rPr lang="en-US" sz="1200" b="1" baseline="0"/>
                  <a:t> Ratio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282176"/>
        <c:crosses val="autoZero"/>
        <c:crossBetween val="midCat"/>
      </c:valAx>
      <c:valAx>
        <c:axId val="177928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Growt</a:t>
                </a:r>
                <a:r>
                  <a:rPr lang="en-US" sz="1600" b="1" baseline="0"/>
                  <a:t>h rates</a:t>
                </a:r>
                <a:endParaRPr lang="en-US" sz="16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279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5725878859737129"/>
          <c:y val="9.7560975609756101E-2"/>
          <c:w val="0.17814641413066609"/>
          <c:h val="9.50667807322310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800100</xdr:colOff>
      <xdr:row>1</xdr:row>
      <xdr:rowOff>12700</xdr:rowOff>
    </xdr:from>
    <xdr:to>
      <xdr:col>12</xdr:col>
      <xdr:colOff>12700</xdr:colOff>
      <xdr:row>29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F042BB-23C5-B942-B3DF-F89203902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812800</xdr:colOff>
      <xdr:row>30</xdr:row>
      <xdr:rowOff>133350</xdr:rowOff>
    </xdr:from>
    <xdr:to>
      <xdr:col>12</xdr:col>
      <xdr:colOff>25400</xdr:colOff>
      <xdr:row>61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4B0F12-4C53-7B06-7C86-CFEA5ADC30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12700</xdr:colOff>
      <xdr:row>62</xdr:row>
      <xdr:rowOff>6350</xdr:rowOff>
    </xdr:from>
    <xdr:to>
      <xdr:col>11</xdr:col>
      <xdr:colOff>812800</xdr:colOff>
      <xdr:row>88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074ECF-BC91-CBDE-93BB-83F38E414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266700</xdr:colOff>
      <xdr:row>0</xdr:row>
      <xdr:rowOff>114300</xdr:rowOff>
    </xdr:from>
    <xdr:to>
      <xdr:col>24</xdr:col>
      <xdr:colOff>228600</xdr:colOff>
      <xdr:row>29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8DF843-2776-F645-93C2-4DDAA7551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9E5F5-882A-BB41-BE06-3FD5E24A23F4}">
  <dimension ref="A1:T104"/>
  <sheetViews>
    <sheetView tabSelected="1" workbookViewId="0">
      <pane ySplit="4" topLeftCell="A5" activePane="bottomLeft" state="frozen"/>
      <selection pane="bottomLeft" activeCell="F8" sqref="F8"/>
    </sheetView>
  </sheetViews>
  <sheetFormatPr baseColWidth="10" defaultRowHeight="21" x14ac:dyDescent="0.25"/>
  <cols>
    <col min="1" max="6" width="10.83203125" style="1"/>
    <col min="7" max="20" width="10.83203125" style="2"/>
    <col min="21" max="16384" width="10.83203125" style="1"/>
  </cols>
  <sheetData>
    <row r="1" spans="1:20" x14ac:dyDescent="0.25">
      <c r="A1" s="1" t="s">
        <v>15</v>
      </c>
    </row>
    <row r="2" spans="1:20" x14ac:dyDescent="0.25">
      <c r="A2" s="1" t="s">
        <v>14</v>
      </c>
    </row>
    <row r="4" spans="1:20" s="3" customFormat="1" x14ac:dyDescent="0.25">
      <c r="A4" s="3" t="s">
        <v>0</v>
      </c>
      <c r="B4" s="3" t="s">
        <v>4</v>
      </c>
      <c r="C4" s="3" t="s">
        <v>1</v>
      </c>
      <c r="D4" s="3" t="s">
        <v>2</v>
      </c>
      <c r="E4" s="3" t="s">
        <v>3</v>
      </c>
      <c r="F4" s="3" t="s">
        <v>16</v>
      </c>
      <c r="G4" s="4" t="s">
        <v>6</v>
      </c>
      <c r="H4" s="4" t="s">
        <v>17</v>
      </c>
      <c r="I4" s="4" t="s">
        <v>7</v>
      </c>
      <c r="J4" s="4" t="s">
        <v>5</v>
      </c>
      <c r="K4" s="4" t="s">
        <v>8</v>
      </c>
      <c r="L4" s="4" t="s">
        <v>18</v>
      </c>
      <c r="M4" s="4" t="s">
        <v>9</v>
      </c>
      <c r="N4" s="4" t="s">
        <v>19</v>
      </c>
      <c r="O4" s="4" t="s">
        <v>10</v>
      </c>
      <c r="P4" s="4" t="s">
        <v>20</v>
      </c>
      <c r="Q4" s="4" t="s">
        <v>12</v>
      </c>
      <c r="R4" s="4" t="s">
        <v>13</v>
      </c>
      <c r="S4" s="4" t="s">
        <v>11</v>
      </c>
      <c r="T4" s="4" t="s">
        <v>21</v>
      </c>
    </row>
    <row r="5" spans="1:20" x14ac:dyDescent="0.25">
      <c r="A5" s="1">
        <v>1990</v>
      </c>
      <c r="B5" s="5">
        <v>0.33</v>
      </c>
      <c r="C5" s="5">
        <v>0.2</v>
      </c>
      <c r="D5" s="5">
        <v>0.01</v>
      </c>
      <c r="E5" s="5">
        <v>0.05</v>
      </c>
      <c r="F5" s="5">
        <v>2.2499999999999999E-2</v>
      </c>
      <c r="G5" s="9">
        <f>P5</f>
        <v>3.7496790832431719</v>
      </c>
      <c r="H5" s="6">
        <v>1</v>
      </c>
      <c r="I5" s="6">
        <v>1</v>
      </c>
      <c r="J5" s="2">
        <f t="shared" ref="J5:J36" si="0">G5^B5*(H5*I5)^(1-B5)</f>
        <v>1.5467426218378084</v>
      </c>
      <c r="K5" s="2">
        <f t="shared" ref="K5:K36" si="1">J5/I5</f>
        <v>1.5467426218378084</v>
      </c>
      <c r="L5" s="2">
        <f t="shared" ref="L5:L36" si="2">G5/(H5*I5)</f>
        <v>3.7496790832431719</v>
      </c>
      <c r="M5" s="2">
        <f t="shared" ref="M5:M36" si="3">C5*(1/L5)^(1-B5)-E5</f>
        <v>3.2500000000000015E-2</v>
      </c>
      <c r="N5" s="2">
        <f>F5+D5</f>
        <v>3.2500000000000001E-2</v>
      </c>
      <c r="O5" s="2">
        <f>B5*(M5-F5-D5)+F5</f>
        <v>2.2500000000000003E-2</v>
      </c>
      <c r="P5" s="2">
        <f>(C5/(D5+E5+F5))^(1/(1-B5))</f>
        <v>3.7496790832431719</v>
      </c>
      <c r="Q5" s="2">
        <f>P5^B5*H5</f>
        <v>1.5467426218378084</v>
      </c>
      <c r="R5" s="2">
        <f>LN(K5)</f>
        <v>0.43615118531110825</v>
      </c>
      <c r="S5" s="2">
        <f>LN(Q5)</f>
        <v>0.43615118531110825</v>
      </c>
      <c r="T5" s="2">
        <f>B5*LN(P5)</f>
        <v>0.43615118531110819</v>
      </c>
    </row>
    <row r="6" spans="1:20" x14ac:dyDescent="0.25">
      <c r="A6" s="1">
        <f>A5+1</f>
        <v>1991</v>
      </c>
      <c r="B6" s="1">
        <f>B5</f>
        <v>0.33</v>
      </c>
      <c r="C6" s="1">
        <f>C5</f>
        <v>0.2</v>
      </c>
      <c r="D6" s="1">
        <f>D5</f>
        <v>0.01</v>
      </c>
      <c r="E6" s="1">
        <f>E5</f>
        <v>0.05</v>
      </c>
      <c r="F6" s="1">
        <f>F5</f>
        <v>2.2499999999999999E-2</v>
      </c>
      <c r="G6" s="2">
        <f>G5*EXP(M5)</f>
        <v>3.8735455814032163</v>
      </c>
      <c r="H6" s="2">
        <f>H5*EXP(F6)</f>
        <v>1.022755034164446</v>
      </c>
      <c r="I6" s="2">
        <f>I5*EXP(D6)</f>
        <v>1.0100501670841679</v>
      </c>
      <c r="J6" s="2">
        <f t="shared" si="0"/>
        <v>1.5978375523288264</v>
      </c>
      <c r="K6" s="2">
        <f t="shared" si="1"/>
        <v>1.5819388030413324</v>
      </c>
      <c r="L6" s="2">
        <f t="shared" si="2"/>
        <v>3.7496790832431719</v>
      </c>
      <c r="M6" s="2">
        <f t="shared" si="3"/>
        <v>3.2500000000000015E-2</v>
      </c>
      <c r="N6" s="2">
        <f t="shared" ref="N6:N69" si="4">F6+D6</f>
        <v>3.2500000000000001E-2</v>
      </c>
      <c r="O6" s="2">
        <f t="shared" ref="O6:O36" si="5">B6*(M6-F6-D6)+F6</f>
        <v>2.2500000000000003E-2</v>
      </c>
      <c r="P6" s="2">
        <f t="shared" ref="P6:P69" si="6">(C6/(D6+E6+F6))^(1/(1-B6))</f>
        <v>3.7496790832431719</v>
      </c>
      <c r="Q6" s="2">
        <f t="shared" ref="Q6:Q69" si="7">P6^B6*H6</f>
        <v>1.5819388030413326</v>
      </c>
      <c r="R6" s="2">
        <f t="shared" ref="R6:R69" si="8">LN(K6)</f>
        <v>0.45865118531110821</v>
      </c>
      <c r="S6" s="2">
        <f t="shared" ref="S6:S69" si="9">LN(Q6)</f>
        <v>0.45865118531110838</v>
      </c>
      <c r="T6" s="2">
        <f t="shared" ref="T6:T69" si="10">B6*LN(P6)</f>
        <v>0.43615118531110819</v>
      </c>
    </row>
    <row r="7" spans="1:20" x14ac:dyDescent="0.25">
      <c r="A7" s="1">
        <f t="shared" ref="A7:A70" si="11">A6+1</f>
        <v>1992</v>
      </c>
      <c r="B7" s="1">
        <f t="shared" ref="B7:B70" si="12">B6</f>
        <v>0.33</v>
      </c>
      <c r="C7" s="1">
        <f>C6</f>
        <v>0.2</v>
      </c>
      <c r="D7" s="1">
        <f t="shared" ref="D7:D70" si="13">D6</f>
        <v>0.01</v>
      </c>
      <c r="E7" s="1">
        <f t="shared" ref="E7:E70" si="14">E6</f>
        <v>0.05</v>
      </c>
      <c r="F7" s="1">
        <f t="shared" ref="F7:F70" si="15">F6</f>
        <v>2.2499999999999999E-2</v>
      </c>
      <c r="G7" s="2">
        <f t="shared" ref="G7:G70" si="16">G6*EXP(M6)</f>
        <v>4.0015038722275973</v>
      </c>
      <c r="H7" s="2">
        <f t="shared" ref="H7:H70" si="17">H6*EXP(F7)</f>
        <v>1.0460278599087172</v>
      </c>
      <c r="I7" s="2">
        <f t="shared" ref="I7:I70" si="18">I6*EXP(D7)</f>
        <v>1.0202013400267556</v>
      </c>
      <c r="J7" s="2">
        <f t="shared" si="0"/>
        <v>1.6506203472938838</v>
      </c>
      <c r="K7" s="2">
        <f t="shared" si="1"/>
        <v>1.6179358745506009</v>
      </c>
      <c r="L7" s="2">
        <f t="shared" si="2"/>
        <v>3.7496790832431719</v>
      </c>
      <c r="M7" s="2">
        <f t="shared" si="3"/>
        <v>3.2500000000000015E-2</v>
      </c>
      <c r="N7" s="2">
        <f t="shared" si="4"/>
        <v>3.2500000000000001E-2</v>
      </c>
      <c r="O7" s="2">
        <f t="shared" si="5"/>
        <v>2.2500000000000003E-2</v>
      </c>
      <c r="P7" s="2">
        <f t="shared" si="6"/>
        <v>3.7496790832431719</v>
      </c>
      <c r="Q7" s="2">
        <f t="shared" si="7"/>
        <v>1.6179358745506009</v>
      </c>
      <c r="R7" s="2">
        <f t="shared" si="8"/>
        <v>0.48115118531110845</v>
      </c>
      <c r="S7" s="2">
        <f t="shared" si="9"/>
        <v>0.48115118531110845</v>
      </c>
      <c r="T7" s="2">
        <f t="shared" si="10"/>
        <v>0.43615118531110819</v>
      </c>
    </row>
    <row r="8" spans="1:20" x14ac:dyDescent="0.25">
      <c r="A8" s="1">
        <f t="shared" si="11"/>
        <v>1993</v>
      </c>
      <c r="B8" s="1">
        <f t="shared" si="12"/>
        <v>0.33</v>
      </c>
      <c r="C8" s="1">
        <f t="shared" ref="C8:C70" si="19">C7</f>
        <v>0.2</v>
      </c>
      <c r="D8" s="1">
        <f t="shared" si="13"/>
        <v>0.01</v>
      </c>
      <c r="E8" s="1">
        <f t="shared" si="14"/>
        <v>0.05</v>
      </c>
      <c r="F8" s="1">
        <f t="shared" si="15"/>
        <v>2.2499999999999999E-2</v>
      </c>
      <c r="G8" s="2">
        <f t="shared" si="16"/>
        <v>4.1336891235579563</v>
      </c>
      <c r="H8" s="2">
        <f t="shared" si="17"/>
        <v>1.0698302595979023</v>
      </c>
      <c r="I8" s="2">
        <f t="shared" si="18"/>
        <v>1.0304545339535165</v>
      </c>
      <c r="J8" s="2">
        <f t="shared" si="0"/>
        <v>1.7051467634676567</v>
      </c>
      <c r="K8" s="2">
        <f t="shared" si="1"/>
        <v>1.6547520606518826</v>
      </c>
      <c r="L8" s="2">
        <f t="shared" si="2"/>
        <v>3.7496790832431723</v>
      </c>
      <c r="M8" s="2">
        <f t="shared" si="3"/>
        <v>3.2499999999999987E-2</v>
      </c>
      <c r="N8" s="2">
        <f t="shared" si="4"/>
        <v>3.2500000000000001E-2</v>
      </c>
      <c r="O8" s="2">
        <f t="shared" si="5"/>
        <v>2.2499999999999996E-2</v>
      </c>
      <c r="P8" s="2">
        <f t="shared" si="6"/>
        <v>3.7496790832431719</v>
      </c>
      <c r="Q8" s="2">
        <f t="shared" si="7"/>
        <v>1.6547520606518826</v>
      </c>
      <c r="R8" s="2">
        <f t="shared" si="8"/>
        <v>0.50365118531110853</v>
      </c>
      <c r="S8" s="2">
        <f t="shared" si="9"/>
        <v>0.50365118531110853</v>
      </c>
      <c r="T8" s="2">
        <f t="shared" si="10"/>
        <v>0.43615118531110819</v>
      </c>
    </row>
    <row r="9" spans="1:20" x14ac:dyDescent="0.25">
      <c r="A9" s="1">
        <f t="shared" si="11"/>
        <v>1994</v>
      </c>
      <c r="B9" s="1">
        <f t="shared" si="12"/>
        <v>0.33</v>
      </c>
      <c r="C9" s="1">
        <f t="shared" si="19"/>
        <v>0.2</v>
      </c>
      <c r="D9" s="1">
        <f t="shared" si="13"/>
        <v>0.01</v>
      </c>
      <c r="E9" s="1">
        <f t="shared" si="14"/>
        <v>0.05</v>
      </c>
      <c r="F9" s="1">
        <f t="shared" si="15"/>
        <v>2.2499999999999999E-2</v>
      </c>
      <c r="G9" s="2">
        <f t="shared" si="16"/>
        <v>4.2702409683559717</v>
      </c>
      <c r="H9" s="2">
        <f t="shared" si="17"/>
        <v>1.0941742837052109</v>
      </c>
      <c r="I9" s="2">
        <f t="shared" si="18"/>
        <v>1.0408107741923878</v>
      </c>
      <c r="J9" s="2">
        <f t="shared" si="0"/>
        <v>1.7614743994468383</v>
      </c>
      <c r="K9" s="2">
        <f t="shared" si="1"/>
        <v>1.6924060003257038</v>
      </c>
      <c r="L9" s="2">
        <f t="shared" si="2"/>
        <v>3.7496790832431723</v>
      </c>
      <c r="M9" s="2">
        <f t="shared" si="3"/>
        <v>3.2499999999999987E-2</v>
      </c>
      <c r="N9" s="2">
        <f t="shared" si="4"/>
        <v>3.2500000000000001E-2</v>
      </c>
      <c r="O9" s="2">
        <f t="shared" si="5"/>
        <v>2.2499999999999996E-2</v>
      </c>
      <c r="P9" s="2">
        <f t="shared" si="6"/>
        <v>3.7496790832431719</v>
      </c>
      <c r="Q9" s="2">
        <f t="shared" si="7"/>
        <v>1.6924060003257038</v>
      </c>
      <c r="R9" s="2">
        <f t="shared" si="8"/>
        <v>0.5261511853111086</v>
      </c>
      <c r="S9" s="2">
        <f t="shared" si="9"/>
        <v>0.5261511853111086</v>
      </c>
      <c r="T9" s="2">
        <f t="shared" si="10"/>
        <v>0.43615118531110819</v>
      </c>
    </row>
    <row r="10" spans="1:20" x14ac:dyDescent="0.25">
      <c r="A10" s="1">
        <f t="shared" si="11"/>
        <v>1995</v>
      </c>
      <c r="B10" s="1">
        <f t="shared" si="12"/>
        <v>0.33</v>
      </c>
      <c r="C10" s="1">
        <f t="shared" si="19"/>
        <v>0.2</v>
      </c>
      <c r="D10" s="1">
        <f t="shared" si="13"/>
        <v>0.01</v>
      </c>
      <c r="E10" s="1">
        <f t="shared" si="14"/>
        <v>0.05</v>
      </c>
      <c r="F10" s="1">
        <f t="shared" si="15"/>
        <v>2.2499999999999999E-2</v>
      </c>
      <c r="G10" s="2">
        <f t="shared" si="16"/>
        <v>4.4113036522036575</v>
      </c>
      <c r="H10" s="2">
        <f t="shared" si="17"/>
        <v>1.1190722569127811</v>
      </c>
      <c r="I10" s="2">
        <f t="shared" si="18"/>
        <v>1.0512710963760235</v>
      </c>
      <c r="J10" s="2">
        <f t="shared" si="0"/>
        <v>1.8196627565340084</v>
      </c>
      <c r="K10" s="2">
        <f t="shared" si="1"/>
        <v>1.7309167566832286</v>
      </c>
      <c r="L10" s="2">
        <f t="shared" si="2"/>
        <v>3.7496790832431723</v>
      </c>
      <c r="M10" s="2">
        <f t="shared" si="3"/>
        <v>3.2499999999999987E-2</v>
      </c>
      <c r="N10" s="2">
        <f t="shared" si="4"/>
        <v>3.2500000000000001E-2</v>
      </c>
      <c r="O10" s="2">
        <f t="shared" si="5"/>
        <v>2.2499999999999996E-2</v>
      </c>
      <c r="P10" s="2">
        <f t="shared" si="6"/>
        <v>3.7496790832431719</v>
      </c>
      <c r="Q10" s="2">
        <f t="shared" si="7"/>
        <v>1.7309167566832286</v>
      </c>
      <c r="R10" s="2">
        <f t="shared" si="8"/>
        <v>0.54865118531110879</v>
      </c>
      <c r="S10" s="2">
        <f t="shared" si="9"/>
        <v>0.54865118531110879</v>
      </c>
      <c r="T10" s="2">
        <f t="shared" si="10"/>
        <v>0.43615118531110819</v>
      </c>
    </row>
    <row r="11" spans="1:20" x14ac:dyDescent="0.25">
      <c r="A11" s="1">
        <f t="shared" si="11"/>
        <v>1996</v>
      </c>
      <c r="B11" s="1">
        <f t="shared" si="12"/>
        <v>0.33</v>
      </c>
      <c r="C11" s="1">
        <f t="shared" si="19"/>
        <v>0.2</v>
      </c>
      <c r="D11" s="1">
        <f t="shared" si="13"/>
        <v>0.01</v>
      </c>
      <c r="E11" s="1">
        <f t="shared" si="14"/>
        <v>0.05</v>
      </c>
      <c r="F11" s="1">
        <f t="shared" si="15"/>
        <v>2.2499999999999999E-2</v>
      </c>
      <c r="G11" s="2">
        <f t="shared" si="16"/>
        <v>4.5570261856761691</v>
      </c>
      <c r="H11" s="2">
        <f t="shared" si="17"/>
        <v>1.1445367843513152</v>
      </c>
      <c r="I11" s="2">
        <f t="shared" si="18"/>
        <v>1.061836546545359</v>
      </c>
      <c r="J11" s="2">
        <f t="shared" si="0"/>
        <v>1.8797733015914198</v>
      </c>
      <c r="K11" s="2">
        <f t="shared" si="1"/>
        <v>1.7703038266173678</v>
      </c>
      <c r="L11" s="2">
        <f t="shared" si="2"/>
        <v>3.7496790832431719</v>
      </c>
      <c r="M11" s="2">
        <f t="shared" si="3"/>
        <v>3.2500000000000015E-2</v>
      </c>
      <c r="N11" s="2">
        <f t="shared" si="4"/>
        <v>3.2500000000000001E-2</v>
      </c>
      <c r="O11" s="2">
        <f t="shared" si="5"/>
        <v>2.2500000000000003E-2</v>
      </c>
      <c r="P11" s="2">
        <f t="shared" si="6"/>
        <v>3.7496790832431719</v>
      </c>
      <c r="Q11" s="2">
        <f t="shared" si="7"/>
        <v>1.7703038266173676</v>
      </c>
      <c r="R11" s="2">
        <f t="shared" si="8"/>
        <v>0.57115118531110898</v>
      </c>
      <c r="S11" s="2">
        <f t="shared" si="9"/>
        <v>0.57115118531110887</v>
      </c>
      <c r="T11" s="2">
        <f t="shared" si="10"/>
        <v>0.43615118531110819</v>
      </c>
    </row>
    <row r="12" spans="1:20" x14ac:dyDescent="0.25">
      <c r="A12" s="1">
        <f t="shared" si="11"/>
        <v>1997</v>
      </c>
      <c r="B12" s="1">
        <f t="shared" si="12"/>
        <v>0.33</v>
      </c>
      <c r="C12" s="1">
        <f t="shared" si="19"/>
        <v>0.2</v>
      </c>
      <c r="D12" s="1">
        <f t="shared" si="13"/>
        <v>0.01</v>
      </c>
      <c r="E12" s="1">
        <f t="shared" si="14"/>
        <v>0.05</v>
      </c>
      <c r="F12" s="1">
        <f t="shared" si="15"/>
        <v>2.2499999999999999E-2</v>
      </c>
      <c r="G12" s="2">
        <f t="shared" si="16"/>
        <v>4.7075625017480807</v>
      </c>
      <c r="H12" s="2">
        <f t="shared" si="17"/>
        <v>1.1705807579816947</v>
      </c>
      <c r="I12" s="2">
        <f t="shared" si="18"/>
        <v>1.0725081812542157</v>
      </c>
      <c r="J12" s="2">
        <f t="shared" si="0"/>
        <v>1.9418695319710828</v>
      </c>
      <c r="K12" s="2">
        <f t="shared" si="1"/>
        <v>1.8105871506734952</v>
      </c>
      <c r="L12" s="2">
        <f t="shared" si="2"/>
        <v>3.7496790832431723</v>
      </c>
      <c r="M12" s="2">
        <f t="shared" si="3"/>
        <v>3.2499999999999987E-2</v>
      </c>
      <c r="N12" s="2">
        <f t="shared" si="4"/>
        <v>3.2500000000000001E-2</v>
      </c>
      <c r="O12" s="2">
        <f t="shared" si="5"/>
        <v>2.2499999999999996E-2</v>
      </c>
      <c r="P12" s="2">
        <f t="shared" si="6"/>
        <v>3.7496790832431719</v>
      </c>
      <c r="Q12" s="2">
        <f t="shared" si="7"/>
        <v>1.8105871506734956</v>
      </c>
      <c r="R12" s="2">
        <f t="shared" si="8"/>
        <v>0.59365118531110883</v>
      </c>
      <c r="S12" s="2">
        <f t="shared" si="9"/>
        <v>0.59365118531110916</v>
      </c>
      <c r="T12" s="2">
        <f t="shared" si="10"/>
        <v>0.43615118531110819</v>
      </c>
    </row>
    <row r="13" spans="1:20" x14ac:dyDescent="0.25">
      <c r="A13" s="1">
        <f t="shared" si="11"/>
        <v>1998</v>
      </c>
      <c r="B13" s="1">
        <f t="shared" si="12"/>
        <v>0.33</v>
      </c>
      <c r="C13" s="1">
        <f t="shared" si="19"/>
        <v>0.2</v>
      </c>
      <c r="D13" s="1">
        <f t="shared" si="13"/>
        <v>0.01</v>
      </c>
      <c r="E13" s="1">
        <f t="shared" si="14"/>
        <v>0.05</v>
      </c>
      <c r="F13" s="1">
        <f t="shared" si="15"/>
        <v>2.2499999999999999E-2</v>
      </c>
      <c r="G13" s="2">
        <f t="shared" si="16"/>
        <v>4.8630716183993989</v>
      </c>
      <c r="H13" s="2">
        <f t="shared" si="17"/>
        <v>1.1972173631218113</v>
      </c>
      <c r="I13" s="2">
        <f t="shared" si="18"/>
        <v>1.0832870676749575</v>
      </c>
      <c r="J13" s="2">
        <f t="shared" si="0"/>
        <v>2.0060170425897517</v>
      </c>
      <c r="K13" s="2">
        <f t="shared" si="1"/>
        <v>1.8517871231447776</v>
      </c>
      <c r="L13" s="2">
        <f t="shared" si="2"/>
        <v>3.7496790832431719</v>
      </c>
      <c r="M13" s="2">
        <f t="shared" si="3"/>
        <v>3.2500000000000015E-2</v>
      </c>
      <c r="N13" s="2">
        <f t="shared" si="4"/>
        <v>3.2500000000000001E-2</v>
      </c>
      <c r="O13" s="2">
        <f t="shared" si="5"/>
        <v>2.2500000000000003E-2</v>
      </c>
      <c r="P13" s="2">
        <f t="shared" si="6"/>
        <v>3.7496790832431719</v>
      </c>
      <c r="Q13" s="2">
        <f t="shared" si="7"/>
        <v>1.8517871231447778</v>
      </c>
      <c r="R13" s="2">
        <f t="shared" si="8"/>
        <v>0.61615118531110902</v>
      </c>
      <c r="S13" s="2">
        <f t="shared" si="9"/>
        <v>0.61615118531110913</v>
      </c>
      <c r="T13" s="2">
        <f t="shared" si="10"/>
        <v>0.43615118531110819</v>
      </c>
    </row>
    <row r="14" spans="1:20" x14ac:dyDescent="0.25">
      <c r="A14" s="1">
        <f t="shared" si="11"/>
        <v>1999</v>
      </c>
      <c r="B14" s="1">
        <f t="shared" si="12"/>
        <v>0.33</v>
      </c>
      <c r="C14" s="1">
        <f t="shared" si="19"/>
        <v>0.2</v>
      </c>
      <c r="D14" s="1">
        <f t="shared" si="13"/>
        <v>0.01</v>
      </c>
      <c r="E14" s="1">
        <f t="shared" si="14"/>
        <v>0.05</v>
      </c>
      <c r="F14" s="1">
        <f t="shared" si="15"/>
        <v>2.2499999999999999E-2</v>
      </c>
      <c r="G14" s="2">
        <f t="shared" si="16"/>
        <v>5.0237178065930905</v>
      </c>
      <c r="H14" s="2">
        <f t="shared" si="17"/>
        <v>1.2244600851219161</v>
      </c>
      <c r="I14" s="2">
        <f t="shared" si="18"/>
        <v>1.0941742837052093</v>
      </c>
      <c r="J14" s="2">
        <f t="shared" si="0"/>
        <v>2.0722835952196497</v>
      </c>
      <c r="K14" s="2">
        <f t="shared" si="1"/>
        <v>1.8939246023972183</v>
      </c>
      <c r="L14" s="2">
        <f t="shared" si="2"/>
        <v>3.7496790832431719</v>
      </c>
      <c r="M14" s="2">
        <f t="shared" si="3"/>
        <v>3.2500000000000015E-2</v>
      </c>
      <c r="N14" s="2">
        <f t="shared" si="4"/>
        <v>3.2500000000000001E-2</v>
      </c>
      <c r="O14" s="2">
        <f t="shared" si="5"/>
        <v>2.2500000000000003E-2</v>
      </c>
      <c r="P14" s="2">
        <f t="shared" si="6"/>
        <v>3.7496790832431719</v>
      </c>
      <c r="Q14" s="2">
        <f t="shared" si="7"/>
        <v>1.8939246023972185</v>
      </c>
      <c r="R14" s="2">
        <f t="shared" si="8"/>
        <v>0.63865118531110909</v>
      </c>
      <c r="S14" s="2">
        <f t="shared" si="9"/>
        <v>0.6386511853111092</v>
      </c>
      <c r="T14" s="2">
        <f t="shared" si="10"/>
        <v>0.43615118531110819</v>
      </c>
    </row>
    <row r="15" spans="1:20" x14ac:dyDescent="0.25">
      <c r="A15" s="1">
        <f t="shared" si="11"/>
        <v>2000</v>
      </c>
      <c r="B15" s="7">
        <f t="shared" si="12"/>
        <v>0.33</v>
      </c>
      <c r="C15" s="7">
        <v>0.2</v>
      </c>
      <c r="D15" s="7">
        <v>0.01</v>
      </c>
      <c r="E15" s="7">
        <f t="shared" si="14"/>
        <v>0.05</v>
      </c>
      <c r="F15" s="7">
        <v>1.2500000000000001E-2</v>
      </c>
      <c r="G15" s="8">
        <f t="shared" si="16"/>
        <v>5.1896707638015593</v>
      </c>
      <c r="H15" s="8">
        <f t="shared" si="17"/>
        <v>1.2398618969660631</v>
      </c>
      <c r="I15" s="8">
        <f t="shared" si="18"/>
        <v>1.1051709180756464</v>
      </c>
      <c r="J15" s="2">
        <f t="shared" si="0"/>
        <v>2.1264441792561195</v>
      </c>
      <c r="K15" s="2">
        <f t="shared" si="1"/>
        <v>1.9240862607557045</v>
      </c>
      <c r="L15" s="2">
        <f t="shared" si="2"/>
        <v>3.7873639845417766</v>
      </c>
      <c r="M15" s="2">
        <f t="shared" si="3"/>
        <v>3.1949097583926431E-2</v>
      </c>
      <c r="N15" s="2">
        <f t="shared" si="4"/>
        <v>2.2499999999999999E-2</v>
      </c>
      <c r="O15" s="2">
        <f t="shared" si="5"/>
        <v>1.5618202202695722E-2</v>
      </c>
      <c r="P15" s="2">
        <f t="shared" si="6"/>
        <v>4.5472542491700629</v>
      </c>
      <c r="Q15" s="2">
        <f t="shared" si="7"/>
        <v>2.0437631387690822</v>
      </c>
      <c r="R15" s="2">
        <f t="shared" si="8"/>
        <v>0.65445118531110924</v>
      </c>
      <c r="S15" s="2">
        <f t="shared" si="9"/>
        <v>0.71479278439827632</v>
      </c>
      <c r="T15" s="2">
        <f t="shared" si="10"/>
        <v>0.4997927843982754</v>
      </c>
    </row>
    <row r="16" spans="1:20" x14ac:dyDescent="0.25">
      <c r="A16" s="1">
        <f t="shared" si="11"/>
        <v>2001</v>
      </c>
      <c r="B16" s="1">
        <f t="shared" si="12"/>
        <v>0.33</v>
      </c>
      <c r="C16" s="1">
        <f t="shared" si="19"/>
        <v>0.2</v>
      </c>
      <c r="D16" s="1">
        <f t="shared" si="13"/>
        <v>0.01</v>
      </c>
      <c r="E16" s="1">
        <f t="shared" si="14"/>
        <v>0.05</v>
      </c>
      <c r="F16" s="1">
        <f t="shared" si="15"/>
        <v>1.2500000000000001E-2</v>
      </c>
      <c r="G16" s="2">
        <f t="shared" si="16"/>
        <v>5.3581531605119768</v>
      </c>
      <c r="H16" s="2">
        <f t="shared" si="17"/>
        <v>1.2554574397541298</v>
      </c>
      <c r="I16" s="2">
        <f t="shared" si="18"/>
        <v>1.11627807045887</v>
      </c>
      <c r="J16" s="2">
        <f t="shared" si="0"/>
        <v>2.1816236376867448</v>
      </c>
      <c r="K16" s="2">
        <f t="shared" si="1"/>
        <v>1.9543729250095738</v>
      </c>
      <c r="L16" s="2">
        <f t="shared" si="2"/>
        <v>3.8233207684632093</v>
      </c>
      <c r="M16" s="2">
        <f t="shared" si="3"/>
        <v>3.1431925229934599E-2</v>
      </c>
      <c r="N16" s="2">
        <f t="shared" si="4"/>
        <v>2.2499999999999999E-2</v>
      </c>
      <c r="O16" s="2">
        <f t="shared" si="5"/>
        <v>1.5447535325878418E-2</v>
      </c>
      <c r="P16" s="2">
        <f t="shared" si="6"/>
        <v>4.5472542491700629</v>
      </c>
      <c r="Q16" s="2">
        <f t="shared" si="7"/>
        <v>2.0694705143706242</v>
      </c>
      <c r="R16" s="2">
        <f t="shared" si="8"/>
        <v>0.67006938751380485</v>
      </c>
      <c r="S16" s="2">
        <f t="shared" si="9"/>
        <v>0.72729278439827649</v>
      </c>
      <c r="T16" s="2">
        <f t="shared" si="10"/>
        <v>0.4997927843982754</v>
      </c>
    </row>
    <row r="17" spans="1:20" x14ac:dyDescent="0.25">
      <c r="A17" s="1">
        <f t="shared" si="11"/>
        <v>2002</v>
      </c>
      <c r="B17" s="1">
        <f t="shared" si="12"/>
        <v>0.33</v>
      </c>
      <c r="C17" s="1">
        <f t="shared" si="19"/>
        <v>0.2</v>
      </c>
      <c r="D17" s="1">
        <f t="shared" si="13"/>
        <v>0.01</v>
      </c>
      <c r="E17" s="1">
        <f t="shared" si="14"/>
        <v>0.05</v>
      </c>
      <c r="F17" s="1">
        <f t="shared" si="15"/>
        <v>1.2500000000000001E-2</v>
      </c>
      <c r="G17" s="2">
        <f t="shared" si="16"/>
        <v>5.5292450174052892</v>
      </c>
      <c r="H17" s="2">
        <f t="shared" si="17"/>
        <v>1.2712491503214061</v>
      </c>
      <c r="I17" s="2">
        <f t="shared" si="18"/>
        <v>1.1274968515793742</v>
      </c>
      <c r="J17" s="2">
        <f t="shared" si="0"/>
        <v>2.237852997210128</v>
      </c>
      <c r="K17" s="2">
        <f t="shared" si="1"/>
        <v>1.9847975575944092</v>
      </c>
      <c r="L17" s="2">
        <f t="shared" si="2"/>
        <v>3.8576233496898773</v>
      </c>
      <c r="M17" s="2">
        <f t="shared" si="3"/>
        <v>3.094606009195397E-2</v>
      </c>
      <c r="N17" s="2">
        <f t="shared" si="4"/>
        <v>2.2499999999999999E-2</v>
      </c>
      <c r="O17" s="2">
        <f t="shared" si="5"/>
        <v>1.5287199830344812E-2</v>
      </c>
      <c r="P17" s="2">
        <f t="shared" si="6"/>
        <v>4.5472542491700629</v>
      </c>
      <c r="Q17" s="2">
        <f t="shared" si="7"/>
        <v>2.095501248950407</v>
      </c>
      <c r="R17" s="2">
        <f t="shared" si="8"/>
        <v>0.68551692283968357</v>
      </c>
      <c r="S17" s="2">
        <f t="shared" si="9"/>
        <v>0.73979278439827656</v>
      </c>
      <c r="T17" s="2">
        <f t="shared" si="10"/>
        <v>0.4997927843982754</v>
      </c>
    </row>
    <row r="18" spans="1:20" x14ac:dyDescent="0.25">
      <c r="A18" s="1">
        <f t="shared" si="11"/>
        <v>2003</v>
      </c>
      <c r="B18" s="1">
        <f t="shared" si="12"/>
        <v>0.33</v>
      </c>
      <c r="C18" s="1">
        <f t="shared" si="19"/>
        <v>0.2</v>
      </c>
      <c r="D18" s="1">
        <f t="shared" si="13"/>
        <v>0.01</v>
      </c>
      <c r="E18" s="1">
        <f t="shared" si="14"/>
        <v>0.05</v>
      </c>
      <c r="F18" s="1">
        <f t="shared" si="15"/>
        <v>1.2500000000000001E-2</v>
      </c>
      <c r="G18" s="2">
        <f t="shared" si="16"/>
        <v>5.7030284537632907</v>
      </c>
      <c r="H18" s="2">
        <f t="shared" si="17"/>
        <v>1.2872394961547966</v>
      </c>
      <c r="I18" s="2">
        <f t="shared" si="18"/>
        <v>1.1388283833246202</v>
      </c>
      <c r="J18" s="2">
        <f t="shared" si="0"/>
        <v>2.2951635914967672</v>
      </c>
      <c r="K18" s="2">
        <f t="shared" si="1"/>
        <v>2.0153726629085398</v>
      </c>
      <c r="L18" s="2">
        <f t="shared" si="2"/>
        <v>3.8903430500840495</v>
      </c>
      <c r="M18" s="2">
        <f t="shared" si="3"/>
        <v>3.0489291263565227E-2</v>
      </c>
      <c r="N18" s="2">
        <f t="shared" si="4"/>
        <v>2.2499999999999999E-2</v>
      </c>
      <c r="O18" s="2">
        <f t="shared" si="5"/>
        <v>1.5136466116976525E-2</v>
      </c>
      <c r="P18" s="2">
        <f t="shared" si="6"/>
        <v>4.5472542491700629</v>
      </c>
      <c r="Q18" s="2">
        <f t="shared" si="7"/>
        <v>2.1218594098636685</v>
      </c>
      <c r="R18" s="2">
        <f t="shared" si="8"/>
        <v>0.70080412267002812</v>
      </c>
      <c r="S18" s="2">
        <f t="shared" si="9"/>
        <v>0.75229278439827652</v>
      </c>
      <c r="T18" s="2">
        <f t="shared" si="10"/>
        <v>0.4997927843982754</v>
      </c>
    </row>
    <row r="19" spans="1:20" x14ac:dyDescent="0.25">
      <c r="A19" s="1">
        <f t="shared" si="11"/>
        <v>2004</v>
      </c>
      <c r="B19" s="1">
        <f t="shared" si="12"/>
        <v>0.33</v>
      </c>
      <c r="C19" s="1">
        <f t="shared" si="19"/>
        <v>0.2</v>
      </c>
      <c r="D19" s="1">
        <f t="shared" si="13"/>
        <v>0.01</v>
      </c>
      <c r="E19" s="1">
        <f t="shared" si="14"/>
        <v>0.05</v>
      </c>
      <c r="F19" s="1">
        <f t="shared" si="15"/>
        <v>1.2500000000000001E-2</v>
      </c>
      <c r="G19" s="2">
        <f t="shared" si="16"/>
        <v>5.8795876546297414</v>
      </c>
      <c r="H19" s="2">
        <f t="shared" si="17"/>
        <v>1.3034309757783704</v>
      </c>
      <c r="I19" s="2">
        <f t="shared" si="18"/>
        <v>1.1502737988572256</v>
      </c>
      <c r="J19" s="2">
        <f t="shared" si="0"/>
        <v>2.3535870974165087</v>
      </c>
      <c r="K19" s="2">
        <f t="shared" si="1"/>
        <v>2.0461103258674163</v>
      </c>
      <c r="L19" s="2">
        <f t="shared" si="2"/>
        <v>3.9215486230478027</v>
      </c>
      <c r="M19" s="2">
        <f t="shared" si="3"/>
        <v>3.0059597225775989E-2</v>
      </c>
      <c r="N19" s="2">
        <f t="shared" si="4"/>
        <v>2.2499999999999999E-2</v>
      </c>
      <c r="O19" s="2">
        <f t="shared" si="5"/>
        <v>1.4994667084506077E-2</v>
      </c>
      <c r="P19" s="2">
        <f t="shared" si="6"/>
        <v>4.5472542491700629</v>
      </c>
      <c r="Q19" s="2">
        <f t="shared" si="7"/>
        <v>2.1485491156266781</v>
      </c>
      <c r="R19" s="2">
        <f t="shared" si="8"/>
        <v>0.71594058878700473</v>
      </c>
      <c r="S19" s="2">
        <f t="shared" si="9"/>
        <v>0.76479278439827669</v>
      </c>
      <c r="T19" s="2">
        <f t="shared" si="10"/>
        <v>0.4997927843982754</v>
      </c>
    </row>
    <row r="20" spans="1:20" x14ac:dyDescent="0.25">
      <c r="A20" s="1">
        <f t="shared" si="11"/>
        <v>2005</v>
      </c>
      <c r="B20" s="1">
        <f t="shared" si="12"/>
        <v>0.33</v>
      </c>
      <c r="C20" s="1">
        <f t="shared" si="19"/>
        <v>0.2</v>
      </c>
      <c r="D20" s="1">
        <f t="shared" si="13"/>
        <v>0.01</v>
      </c>
      <c r="E20" s="1">
        <f t="shared" si="14"/>
        <v>0.05</v>
      </c>
      <c r="F20" s="1">
        <f t="shared" si="15"/>
        <v>1.2500000000000001E-2</v>
      </c>
      <c r="G20" s="2">
        <f t="shared" si="16"/>
        <v>6.0590088458484379</v>
      </c>
      <c r="H20" s="2">
        <f t="shared" si="17"/>
        <v>1.3198261191437606</v>
      </c>
      <c r="I20" s="2">
        <f t="shared" si="18"/>
        <v>1.1618342427282813</v>
      </c>
      <c r="J20" s="2">
        <f t="shared" si="0"/>
        <v>2.4131555692633091</v>
      </c>
      <c r="K20" s="2">
        <f t="shared" si="1"/>
        <v>2.0770222468194843</v>
      </c>
      <c r="L20" s="2">
        <f t="shared" si="2"/>
        <v>3.9513062874032276</v>
      </c>
      <c r="M20" s="2">
        <f t="shared" si="3"/>
        <v>2.9655126132280704E-2</v>
      </c>
      <c r="N20" s="2">
        <f t="shared" si="4"/>
        <v>2.2499999999999999E-2</v>
      </c>
      <c r="O20" s="2">
        <f t="shared" si="5"/>
        <v>1.4861191623652632E-2</v>
      </c>
      <c r="P20" s="2">
        <f t="shared" si="6"/>
        <v>4.5472542491700629</v>
      </c>
      <c r="Q20" s="2">
        <f t="shared" si="7"/>
        <v>2.1755745365602612</v>
      </c>
      <c r="R20" s="2">
        <f t="shared" si="8"/>
        <v>0.73093525587151109</v>
      </c>
      <c r="S20" s="2">
        <f t="shared" si="9"/>
        <v>0.77729278439827676</v>
      </c>
      <c r="T20" s="2">
        <f t="shared" si="10"/>
        <v>0.4997927843982754</v>
      </c>
    </row>
    <row r="21" spans="1:20" x14ac:dyDescent="0.25">
      <c r="A21" s="1">
        <f t="shared" si="11"/>
        <v>2006</v>
      </c>
      <c r="B21" s="1">
        <f t="shared" si="12"/>
        <v>0.33</v>
      </c>
      <c r="C21" s="1">
        <f t="shared" si="19"/>
        <v>0.2</v>
      </c>
      <c r="D21" s="1">
        <f t="shared" si="13"/>
        <v>0.01</v>
      </c>
      <c r="E21" s="1">
        <f t="shared" si="14"/>
        <v>0.05</v>
      </c>
      <c r="F21" s="1">
        <f t="shared" si="15"/>
        <v>1.2500000000000001E-2</v>
      </c>
      <c r="G21" s="2">
        <f t="shared" si="16"/>
        <v>6.2413802763019248</v>
      </c>
      <c r="H21" s="2">
        <f t="shared" si="17"/>
        <v>1.3364274880254741</v>
      </c>
      <c r="I21" s="2">
        <f t="shared" si="18"/>
        <v>1.1735108709918083</v>
      </c>
      <c r="J21" s="2">
        <f t="shared" si="0"/>
        <v>2.4739014712625575</v>
      </c>
      <c r="K21" s="2">
        <f t="shared" si="1"/>
        <v>2.1081197732507642</v>
      </c>
      <c r="L21" s="2">
        <f t="shared" si="2"/>
        <v>3.9796797691469896</v>
      </c>
      <c r="M21" s="2">
        <f t="shared" si="3"/>
        <v>2.9274178522843267E-2</v>
      </c>
      <c r="N21" s="2">
        <f t="shared" si="4"/>
        <v>2.2499999999999999E-2</v>
      </c>
      <c r="O21" s="2">
        <f t="shared" si="5"/>
        <v>1.4735478912538279E-2</v>
      </c>
      <c r="P21" s="2">
        <f t="shared" si="6"/>
        <v>4.5472542491700629</v>
      </c>
      <c r="Q21" s="2">
        <f t="shared" si="7"/>
        <v>2.202939895441423</v>
      </c>
      <c r="R21" s="2">
        <f t="shared" si="8"/>
        <v>0.74579644749516383</v>
      </c>
      <c r="S21" s="2">
        <f t="shared" si="9"/>
        <v>0.78979278439827705</v>
      </c>
      <c r="T21" s="2">
        <f t="shared" si="10"/>
        <v>0.4997927843982754</v>
      </c>
    </row>
    <row r="22" spans="1:20" x14ac:dyDescent="0.25">
      <c r="A22" s="1">
        <f t="shared" si="11"/>
        <v>2007</v>
      </c>
      <c r="B22" s="1">
        <f t="shared" si="12"/>
        <v>0.33</v>
      </c>
      <c r="C22" s="1">
        <f t="shared" si="19"/>
        <v>0.2</v>
      </c>
      <c r="D22" s="1">
        <f t="shared" si="13"/>
        <v>0.01</v>
      </c>
      <c r="E22" s="1">
        <f t="shared" si="14"/>
        <v>0.05</v>
      </c>
      <c r="F22" s="1">
        <f t="shared" si="15"/>
        <v>1.2500000000000001E-2</v>
      </c>
      <c r="G22" s="2">
        <f t="shared" si="16"/>
        <v>6.4267922067497354</v>
      </c>
      <c r="H22" s="2">
        <f t="shared" si="17"/>
        <v>1.3532376764211742</v>
      </c>
      <c r="I22" s="2">
        <f t="shared" si="18"/>
        <v>1.1853048513203635</v>
      </c>
      <c r="J22" s="2">
        <f t="shared" si="0"/>
        <v>2.5358577086078147</v>
      </c>
      <c r="K22" s="2">
        <f t="shared" si="1"/>
        <v>2.1394139286471416</v>
      </c>
      <c r="L22" s="2">
        <f t="shared" si="2"/>
        <v>4.006730349652976</v>
      </c>
      <c r="M22" s="2">
        <f t="shared" si="3"/>
        <v>2.8915192121647615E-2</v>
      </c>
      <c r="N22" s="2">
        <f t="shared" si="4"/>
        <v>2.2499999999999999E-2</v>
      </c>
      <c r="O22" s="2">
        <f t="shared" si="5"/>
        <v>1.4617013400143713E-2</v>
      </c>
      <c r="P22" s="2">
        <f t="shared" si="6"/>
        <v>4.5472542491700629</v>
      </c>
      <c r="Q22" s="2">
        <f t="shared" si="7"/>
        <v>2.230649468163163</v>
      </c>
      <c r="R22" s="2">
        <f t="shared" si="8"/>
        <v>0.76053192640770229</v>
      </c>
      <c r="S22" s="2">
        <f t="shared" si="9"/>
        <v>0.802292784398277</v>
      </c>
      <c r="T22" s="2">
        <f t="shared" si="10"/>
        <v>0.4997927843982754</v>
      </c>
    </row>
    <row r="23" spans="1:20" x14ac:dyDescent="0.25">
      <c r="A23" s="1">
        <f t="shared" si="11"/>
        <v>2008</v>
      </c>
      <c r="B23" s="1">
        <f t="shared" si="12"/>
        <v>0.33</v>
      </c>
      <c r="C23" s="1">
        <f t="shared" si="19"/>
        <v>0.2</v>
      </c>
      <c r="D23" s="1">
        <f t="shared" si="13"/>
        <v>0.01</v>
      </c>
      <c r="E23" s="1">
        <f t="shared" si="14"/>
        <v>0.05</v>
      </c>
      <c r="F23" s="1">
        <f t="shared" si="15"/>
        <v>1.2500000000000001E-2</v>
      </c>
      <c r="G23" s="2">
        <f t="shared" si="16"/>
        <v>6.6153369047311319</v>
      </c>
      <c r="H23" s="2">
        <f t="shared" si="17"/>
        <v>1.3702593109569987</v>
      </c>
      <c r="I23" s="2">
        <f t="shared" si="18"/>
        <v>1.1972173631218079</v>
      </c>
      <c r="J23" s="2">
        <f t="shared" si="0"/>
        <v>2.5990576572414636</v>
      </c>
      <c r="K23" s="2">
        <f t="shared" si="1"/>
        <v>2.1709154388341667</v>
      </c>
      <c r="L23" s="2">
        <f t="shared" si="2"/>
        <v>4.0325169190877155</v>
      </c>
      <c r="M23" s="2">
        <f t="shared" si="3"/>
        <v>2.8576728431855977E-2</v>
      </c>
      <c r="N23" s="2">
        <f t="shared" si="4"/>
        <v>2.2499999999999999E-2</v>
      </c>
      <c r="O23" s="2">
        <f t="shared" si="5"/>
        <v>1.4505320382512473E-2</v>
      </c>
      <c r="P23" s="2">
        <f t="shared" si="6"/>
        <v>4.5472542491700629</v>
      </c>
      <c r="Q23" s="2">
        <f t="shared" si="7"/>
        <v>2.2587075844025954</v>
      </c>
      <c r="R23" s="2">
        <f t="shared" si="8"/>
        <v>0.77514893980784583</v>
      </c>
      <c r="S23" s="2">
        <f t="shared" si="9"/>
        <v>0.81479278439827707</v>
      </c>
      <c r="T23" s="2">
        <f t="shared" si="10"/>
        <v>0.4997927843982754</v>
      </c>
    </row>
    <row r="24" spans="1:20" x14ac:dyDescent="0.25">
      <c r="A24" s="1">
        <f t="shared" si="11"/>
        <v>2009</v>
      </c>
      <c r="B24" s="1">
        <f t="shared" si="12"/>
        <v>0.33</v>
      </c>
      <c r="C24" s="1">
        <f t="shared" si="19"/>
        <v>0.2</v>
      </c>
      <c r="D24" s="1">
        <f t="shared" si="13"/>
        <v>0.01</v>
      </c>
      <c r="E24" s="1">
        <f t="shared" si="14"/>
        <v>0.05</v>
      </c>
      <c r="F24" s="1">
        <f t="shared" si="15"/>
        <v>1.2500000000000001E-2</v>
      </c>
      <c r="G24" s="2">
        <f t="shared" si="16"/>
        <v>6.8071086450556724</v>
      </c>
      <c r="H24" s="2">
        <f t="shared" si="17"/>
        <v>1.3874950512979745</v>
      </c>
      <c r="I24" s="2">
        <f t="shared" si="18"/>
        <v>1.209249597657249</v>
      </c>
      <c r="J24" s="2">
        <f t="shared" si="0"/>
        <v>2.6635351925664197</v>
      </c>
      <c r="K24" s="2">
        <f t="shared" si="1"/>
        <v>2.2026347560723978</v>
      </c>
      <c r="L24" s="2">
        <f t="shared" si="2"/>
        <v>4.05709603396972</v>
      </c>
      <c r="M24" s="2">
        <f t="shared" si="3"/>
        <v>2.8257460882487082E-2</v>
      </c>
      <c r="N24" s="2">
        <f t="shared" si="4"/>
        <v>2.2499999999999999E-2</v>
      </c>
      <c r="O24" s="2">
        <f t="shared" si="5"/>
        <v>1.4399962091220738E-2</v>
      </c>
      <c r="P24" s="2">
        <f t="shared" si="6"/>
        <v>4.5472542491700629</v>
      </c>
      <c r="Q24" s="2">
        <f t="shared" si="7"/>
        <v>2.2871186282974669</v>
      </c>
      <c r="R24" s="2">
        <f t="shared" si="8"/>
        <v>0.78965426019035856</v>
      </c>
      <c r="S24" s="2">
        <f t="shared" si="9"/>
        <v>0.82729278439827714</v>
      </c>
      <c r="T24" s="2">
        <f t="shared" si="10"/>
        <v>0.4997927843982754</v>
      </c>
    </row>
    <row r="25" spans="1:20" x14ac:dyDescent="0.25">
      <c r="A25" s="1">
        <f t="shared" si="11"/>
        <v>2010</v>
      </c>
      <c r="B25" s="1">
        <f t="shared" si="12"/>
        <v>0.33</v>
      </c>
      <c r="C25" s="1">
        <f t="shared" si="19"/>
        <v>0.2</v>
      </c>
      <c r="D25" s="1">
        <f t="shared" si="13"/>
        <v>0.01</v>
      </c>
      <c r="E25" s="1">
        <f t="shared" si="14"/>
        <v>0.05</v>
      </c>
      <c r="F25" s="1">
        <f t="shared" si="15"/>
        <v>1.2500000000000001E-2</v>
      </c>
      <c r="G25" s="2">
        <f t="shared" si="16"/>
        <v>7.0022037154564689</v>
      </c>
      <c r="H25" s="2">
        <f t="shared" si="17"/>
        <v>1.4049475905635962</v>
      </c>
      <c r="I25" s="2">
        <f t="shared" si="18"/>
        <v>1.2214027581601672</v>
      </c>
      <c r="J25" s="2">
        <f t="shared" si="0"/>
        <v>2.7293247172527568</v>
      </c>
      <c r="K25" s="2">
        <f t="shared" si="1"/>
        <v>2.2345820811507044</v>
      </c>
      <c r="L25" s="2">
        <f t="shared" si="2"/>
        <v>4.0805219779489166</v>
      </c>
      <c r="M25" s="2">
        <f t="shared" si="3"/>
        <v>2.7956164320901492E-2</v>
      </c>
      <c r="N25" s="2">
        <f t="shared" si="4"/>
        <v>2.2499999999999999E-2</v>
      </c>
      <c r="O25" s="2">
        <f t="shared" si="5"/>
        <v>1.4300534225897492E-2</v>
      </c>
      <c r="P25" s="2">
        <f t="shared" si="6"/>
        <v>4.5472542491700629</v>
      </c>
      <c r="Q25" s="2">
        <f t="shared" si="7"/>
        <v>2.315887039131189</v>
      </c>
      <c r="R25" s="2">
        <f t="shared" si="8"/>
        <v>0.80405422228157941</v>
      </c>
      <c r="S25" s="2">
        <f t="shared" si="9"/>
        <v>0.8397927843982772</v>
      </c>
      <c r="T25" s="2">
        <f t="shared" si="10"/>
        <v>0.4997927843982754</v>
      </c>
    </row>
    <row r="26" spans="1:20" x14ac:dyDescent="0.25">
      <c r="A26" s="1">
        <f t="shared" si="11"/>
        <v>2011</v>
      </c>
      <c r="B26" s="1">
        <f t="shared" si="12"/>
        <v>0.33</v>
      </c>
      <c r="C26" s="1">
        <f t="shared" si="19"/>
        <v>0.2</v>
      </c>
      <c r="D26" s="1">
        <f t="shared" si="13"/>
        <v>0.01</v>
      </c>
      <c r="E26" s="1">
        <f t="shared" si="14"/>
        <v>0.05</v>
      </c>
      <c r="F26" s="1">
        <f t="shared" si="15"/>
        <v>1.2500000000000001E-2</v>
      </c>
      <c r="G26" s="2">
        <f t="shared" si="16"/>
        <v>7.2007204270267495</v>
      </c>
      <c r="H26" s="2">
        <f t="shared" si="17"/>
        <v>1.4226196557486315</v>
      </c>
      <c r="I26" s="2">
        <f t="shared" si="18"/>
        <v>1.2336780599567405</v>
      </c>
      <c r="J26" s="2">
        <f t="shared" si="0"/>
        <v>2.7964611882833452</v>
      </c>
      <c r="K26" s="2">
        <f t="shared" si="1"/>
        <v>2.2667673836895537</v>
      </c>
      <c r="L26" s="2">
        <f t="shared" si="2"/>
        <v>4.1028468250089611</v>
      </c>
      <c r="M26" s="2">
        <f t="shared" si="3"/>
        <v>2.7671705675095429E-2</v>
      </c>
      <c r="N26" s="2">
        <f t="shared" si="4"/>
        <v>2.2499999999999999E-2</v>
      </c>
      <c r="O26" s="2">
        <f t="shared" si="5"/>
        <v>1.4206662872781491E-2</v>
      </c>
      <c r="P26" s="2">
        <f t="shared" si="6"/>
        <v>4.5472542491700629</v>
      </c>
      <c r="Q26" s="2">
        <f t="shared" si="7"/>
        <v>2.3450173120264837</v>
      </c>
      <c r="R26" s="2">
        <f t="shared" si="8"/>
        <v>0.81835475650747669</v>
      </c>
      <c r="S26" s="2">
        <f t="shared" si="9"/>
        <v>0.85229278439827716</v>
      </c>
      <c r="T26" s="2">
        <f t="shared" si="10"/>
        <v>0.4997927843982754</v>
      </c>
    </row>
    <row r="27" spans="1:20" x14ac:dyDescent="0.25">
      <c r="A27" s="1">
        <f t="shared" si="11"/>
        <v>2012</v>
      </c>
      <c r="B27" s="1">
        <f t="shared" si="12"/>
        <v>0.33</v>
      </c>
      <c r="C27" s="1">
        <f t="shared" si="19"/>
        <v>0.2</v>
      </c>
      <c r="D27" s="1">
        <f t="shared" si="13"/>
        <v>0.01</v>
      </c>
      <c r="E27" s="1">
        <f t="shared" si="14"/>
        <v>0.05</v>
      </c>
      <c r="F27" s="1">
        <f t="shared" si="15"/>
        <v>1.2500000000000001E-2</v>
      </c>
      <c r="G27" s="2">
        <f t="shared" si="16"/>
        <v>7.4027591291009411</v>
      </c>
      <c r="H27" s="2">
        <f t="shared" si="17"/>
        <v>1.4405140081492196</v>
      </c>
      <c r="I27" s="2">
        <f t="shared" si="18"/>
        <v>1.2460767305873779</v>
      </c>
      <c r="J27" s="2">
        <f t="shared" si="0"/>
        <v>2.8649801433656403</v>
      </c>
      <c r="K27" s="2">
        <f t="shared" si="1"/>
        <v>2.2992004208401684</v>
      </c>
      <c r="L27" s="2">
        <f t="shared" si="2"/>
        <v>4.1241205044057203</v>
      </c>
      <c r="M27" s="2">
        <f t="shared" si="3"/>
        <v>2.7403035635811382E-2</v>
      </c>
      <c r="N27" s="2">
        <f t="shared" si="4"/>
        <v>2.2499999999999999E-2</v>
      </c>
      <c r="O27" s="2">
        <f t="shared" si="5"/>
        <v>1.4118001759817757E-2</v>
      </c>
      <c r="P27" s="2">
        <f t="shared" si="6"/>
        <v>4.5472542491700629</v>
      </c>
      <c r="Q27" s="2">
        <f t="shared" si="7"/>
        <v>2.3745139986477577</v>
      </c>
      <c r="R27" s="2">
        <f t="shared" si="8"/>
        <v>0.83256141938025818</v>
      </c>
      <c r="S27" s="2">
        <f t="shared" si="9"/>
        <v>0.86479278439827723</v>
      </c>
      <c r="T27" s="2">
        <f t="shared" si="10"/>
        <v>0.4997927843982754</v>
      </c>
    </row>
    <row r="28" spans="1:20" x14ac:dyDescent="0.25">
      <c r="A28" s="1">
        <f t="shared" si="11"/>
        <v>2013</v>
      </c>
      <c r="B28" s="1">
        <f t="shared" si="12"/>
        <v>0.33</v>
      </c>
      <c r="C28" s="1">
        <f t="shared" si="19"/>
        <v>0.2</v>
      </c>
      <c r="D28" s="1">
        <f t="shared" si="13"/>
        <v>0.01</v>
      </c>
      <c r="E28" s="1">
        <f t="shared" si="14"/>
        <v>0.05</v>
      </c>
      <c r="F28" s="1">
        <f t="shared" si="15"/>
        <v>1.2500000000000001E-2</v>
      </c>
      <c r="G28" s="2">
        <f t="shared" si="16"/>
        <v>7.6084222282777079</v>
      </c>
      <c r="H28" s="2">
        <f t="shared" si="17"/>
        <v>1.4586334437943296</v>
      </c>
      <c r="I28" s="2">
        <f t="shared" si="18"/>
        <v>1.2586000099294747</v>
      </c>
      <c r="J28" s="2">
        <f t="shared" si="0"/>
        <v>2.934917726822293</v>
      </c>
      <c r="K28" s="2">
        <f t="shared" si="1"/>
        <v>2.3318907545430183</v>
      </c>
      <c r="L28" s="2">
        <f t="shared" si="2"/>
        <v>4.1443908667518015</v>
      </c>
      <c r="M28" s="2">
        <f t="shared" si="3"/>
        <v>2.7149181230092176E-2</v>
      </c>
      <c r="N28" s="2">
        <f t="shared" si="4"/>
        <v>2.2499999999999999E-2</v>
      </c>
      <c r="O28" s="2">
        <f t="shared" si="5"/>
        <v>1.4034229805930418E-2</v>
      </c>
      <c r="P28" s="2">
        <f t="shared" si="6"/>
        <v>4.5472542491700629</v>
      </c>
      <c r="Q28" s="2">
        <f t="shared" si="7"/>
        <v>2.4043817079123064</v>
      </c>
      <c r="R28" s="2">
        <f t="shared" si="8"/>
        <v>0.84667942114007633</v>
      </c>
      <c r="S28" s="2">
        <f t="shared" si="9"/>
        <v>0.87729278439827718</v>
      </c>
      <c r="T28" s="2">
        <f t="shared" si="10"/>
        <v>0.4997927843982754</v>
      </c>
    </row>
    <row r="29" spans="1:20" x14ac:dyDescent="0.25">
      <c r="A29" s="1">
        <f t="shared" si="11"/>
        <v>2014</v>
      </c>
      <c r="B29" s="1">
        <f t="shared" si="12"/>
        <v>0.33</v>
      </c>
      <c r="C29" s="1">
        <f t="shared" si="19"/>
        <v>0.2</v>
      </c>
      <c r="D29" s="1">
        <f t="shared" si="13"/>
        <v>0.01</v>
      </c>
      <c r="E29" s="1">
        <f t="shared" si="14"/>
        <v>0.05</v>
      </c>
      <c r="F29" s="1">
        <f t="shared" si="15"/>
        <v>1.2500000000000001E-2</v>
      </c>
      <c r="G29" s="2">
        <f t="shared" si="16"/>
        <v>7.8178142113146807</v>
      </c>
      <c r="H29" s="2">
        <f t="shared" si="17"/>
        <v>1.4769807938826451</v>
      </c>
      <c r="I29" s="2">
        <f t="shared" si="18"/>
        <v>1.2712491503214014</v>
      </c>
      <c r="J29" s="2">
        <f t="shared" si="0"/>
        <v>3.0063107150607729</v>
      </c>
      <c r="K29" s="2">
        <f t="shared" si="1"/>
        <v>2.3648477674897226</v>
      </c>
      <c r="L29" s="2">
        <f t="shared" si="2"/>
        <v>4.163703750741405</v>
      </c>
      <c r="M29" s="2">
        <f t="shared" si="3"/>
        <v>2.6909239176079583E-2</v>
      </c>
      <c r="N29" s="2">
        <f t="shared" si="4"/>
        <v>2.2499999999999999E-2</v>
      </c>
      <c r="O29" s="2">
        <f t="shared" si="5"/>
        <v>1.3955048928106263E-2</v>
      </c>
      <c r="P29" s="2">
        <f t="shared" si="6"/>
        <v>4.5472542491700629</v>
      </c>
      <c r="Q29" s="2">
        <f t="shared" si="7"/>
        <v>2.4346251067104689</v>
      </c>
      <c r="R29" s="2">
        <f t="shared" si="8"/>
        <v>0.86071365094600649</v>
      </c>
      <c r="S29" s="2">
        <f t="shared" si="9"/>
        <v>0.88979278439827714</v>
      </c>
      <c r="T29" s="2">
        <f t="shared" si="10"/>
        <v>0.4997927843982754</v>
      </c>
    </row>
    <row r="30" spans="1:20" x14ac:dyDescent="0.25">
      <c r="A30" s="1">
        <f t="shared" si="11"/>
        <v>2015</v>
      </c>
      <c r="B30" s="1">
        <f t="shared" si="12"/>
        <v>0.33</v>
      </c>
      <c r="C30" s="1">
        <f t="shared" si="19"/>
        <v>0.2</v>
      </c>
      <c r="D30" s="1">
        <f t="shared" si="13"/>
        <v>0.01</v>
      </c>
      <c r="E30" s="1">
        <f t="shared" si="14"/>
        <v>0.05</v>
      </c>
      <c r="F30" s="1">
        <f t="shared" si="15"/>
        <v>1.2500000000000001E-2</v>
      </c>
      <c r="G30" s="2">
        <f t="shared" si="16"/>
        <v>8.031041671653524</v>
      </c>
      <c r="H30" s="2">
        <f t="shared" si="17"/>
        <v>1.4955589252249457</v>
      </c>
      <c r="I30" s="2">
        <f t="shared" si="18"/>
        <v>1.2840254166877381</v>
      </c>
      <c r="J30" s="2">
        <f t="shared" si="0"/>
        <v>3.0791965417115019</v>
      </c>
      <c r="K30" s="2">
        <f t="shared" si="1"/>
        <v>2.398080677915686</v>
      </c>
      <c r="L30" s="2">
        <f t="shared" si="2"/>
        <v>4.1821030500835121</v>
      </c>
      <c r="M30" s="2">
        <f t="shared" si="3"/>
        <v>2.6682369924187474E-2</v>
      </c>
      <c r="N30" s="2">
        <f t="shared" si="4"/>
        <v>2.2499999999999999E-2</v>
      </c>
      <c r="O30" s="2">
        <f t="shared" si="5"/>
        <v>1.3880182074981868E-2</v>
      </c>
      <c r="P30" s="2">
        <f t="shared" si="6"/>
        <v>4.5472542491700629</v>
      </c>
      <c r="Q30" s="2">
        <f t="shared" si="7"/>
        <v>2.4652489206348385</v>
      </c>
      <c r="R30" s="2">
        <f t="shared" si="8"/>
        <v>0.87466869987411289</v>
      </c>
      <c r="S30" s="2">
        <f t="shared" si="9"/>
        <v>0.9022927843982772</v>
      </c>
      <c r="T30" s="2">
        <f t="shared" si="10"/>
        <v>0.4997927843982754</v>
      </c>
    </row>
    <row r="31" spans="1:20" x14ac:dyDescent="0.25">
      <c r="A31" s="1">
        <f t="shared" si="11"/>
        <v>2016</v>
      </c>
      <c r="B31" s="1">
        <f t="shared" si="12"/>
        <v>0.33</v>
      </c>
      <c r="C31" s="1">
        <f t="shared" si="19"/>
        <v>0.2</v>
      </c>
      <c r="D31" s="1">
        <f t="shared" si="13"/>
        <v>0.01</v>
      </c>
      <c r="E31" s="1">
        <f t="shared" si="14"/>
        <v>0.05</v>
      </c>
      <c r="F31" s="1">
        <f t="shared" si="15"/>
        <v>1.2500000000000001E-2</v>
      </c>
      <c r="G31" s="2">
        <f t="shared" si="16"/>
        <v>8.2482133393599053</v>
      </c>
      <c r="H31" s="2">
        <f t="shared" si="17"/>
        <v>1.514370740692051</v>
      </c>
      <c r="I31" s="2">
        <f t="shared" si="18"/>
        <v>1.2969300866657683</v>
      </c>
      <c r="J31" s="2">
        <f t="shared" si="0"/>
        <v>3.1536133225146945</v>
      </c>
      <c r="K31" s="2">
        <f t="shared" si="1"/>
        <v>2.4315985533362152</v>
      </c>
      <c r="L31" s="2">
        <f t="shared" si="2"/>
        <v>4.1996307802759336</v>
      </c>
      <c r="M31" s="2">
        <f t="shared" si="3"/>
        <v>2.6467792302749246E-2</v>
      </c>
      <c r="N31" s="2">
        <f t="shared" si="4"/>
        <v>2.2499999999999999E-2</v>
      </c>
      <c r="O31" s="2">
        <f t="shared" si="5"/>
        <v>1.3809371459907252E-2</v>
      </c>
      <c r="P31" s="2">
        <f t="shared" si="6"/>
        <v>4.5472542491700629</v>
      </c>
      <c r="Q31" s="2">
        <f t="shared" si="7"/>
        <v>2.4962579347186451</v>
      </c>
      <c r="R31" s="2">
        <f t="shared" si="8"/>
        <v>0.88854888194909465</v>
      </c>
      <c r="S31" s="2">
        <f t="shared" si="9"/>
        <v>0.91479278439827716</v>
      </c>
      <c r="T31" s="2">
        <f t="shared" si="10"/>
        <v>0.4997927843982754</v>
      </c>
    </row>
    <row r="32" spans="1:20" x14ac:dyDescent="0.25">
      <c r="A32" s="1">
        <f t="shared" si="11"/>
        <v>2017</v>
      </c>
      <c r="B32" s="1">
        <f t="shared" si="12"/>
        <v>0.33</v>
      </c>
      <c r="C32" s="1">
        <f t="shared" si="19"/>
        <v>0.2</v>
      </c>
      <c r="D32" s="1">
        <f t="shared" si="13"/>
        <v>0.01</v>
      </c>
      <c r="E32" s="1">
        <f t="shared" si="14"/>
        <v>0.05</v>
      </c>
      <c r="F32" s="1">
        <f t="shared" si="15"/>
        <v>1.2500000000000001E-2</v>
      </c>
      <c r="G32" s="2">
        <f t="shared" si="16"/>
        <v>8.4694401142862237</v>
      </c>
      <c r="H32" s="2">
        <f t="shared" si="17"/>
        <v>1.5334191796684007</v>
      </c>
      <c r="I32" s="2">
        <f t="shared" si="18"/>
        <v>1.3099644507332437</v>
      </c>
      <c r="J32" s="2">
        <f t="shared" si="0"/>
        <v>3.2295998800281303</v>
      </c>
      <c r="K32" s="2">
        <f t="shared" si="1"/>
        <v>2.4654103233262425</v>
      </c>
      <c r="L32" s="2">
        <f t="shared" si="2"/>
        <v>4.2163271449090827</v>
      </c>
      <c r="M32" s="2">
        <f t="shared" si="3"/>
        <v>2.6264778697247124E-2</v>
      </c>
      <c r="N32" s="2">
        <f t="shared" si="4"/>
        <v>2.2499999999999999E-2</v>
      </c>
      <c r="O32" s="2">
        <f t="shared" si="5"/>
        <v>1.3742376970091551E-2</v>
      </c>
      <c r="P32" s="2">
        <f t="shared" si="6"/>
        <v>4.5472542491700629</v>
      </c>
      <c r="Q32" s="2">
        <f t="shared" si="7"/>
        <v>2.5276569941834279</v>
      </c>
      <c r="R32" s="2">
        <f t="shared" si="8"/>
        <v>0.902358253409002</v>
      </c>
      <c r="S32" s="2">
        <f t="shared" si="9"/>
        <v>0.92729278439827734</v>
      </c>
      <c r="T32" s="2">
        <f t="shared" si="10"/>
        <v>0.4997927843982754</v>
      </c>
    </row>
    <row r="33" spans="1:20" x14ac:dyDescent="0.25">
      <c r="A33" s="1">
        <f t="shared" si="11"/>
        <v>2018</v>
      </c>
      <c r="B33" s="1">
        <f t="shared" si="12"/>
        <v>0.33</v>
      </c>
      <c r="C33" s="1">
        <f t="shared" si="19"/>
        <v>0.2</v>
      </c>
      <c r="D33" s="1">
        <f t="shared" si="13"/>
        <v>0.01</v>
      </c>
      <c r="E33" s="1">
        <f t="shared" si="14"/>
        <v>0.05</v>
      </c>
      <c r="F33" s="1">
        <f t="shared" si="15"/>
        <v>1.2500000000000001E-2</v>
      </c>
      <c r="G33" s="2">
        <f t="shared" si="16"/>
        <v>8.6948351022859018</v>
      </c>
      <c r="H33" s="2">
        <f t="shared" si="17"/>
        <v>1.5527072185113391</v>
      </c>
      <c r="I33" s="2">
        <f t="shared" si="18"/>
        <v>1.3231298123374331</v>
      </c>
      <c r="J33" s="2">
        <f t="shared" si="0"/>
        <v>3.3071957682211206</v>
      </c>
      <c r="K33" s="2">
        <f t="shared" si="1"/>
        <v>2.4995247914327079</v>
      </c>
      <c r="L33" s="2">
        <f t="shared" si="2"/>
        <v>4.2322306012376174</v>
      </c>
      <c r="M33" s="2">
        <f t="shared" si="3"/>
        <v>2.6072650701602099E-2</v>
      </c>
      <c r="N33" s="2">
        <f t="shared" si="4"/>
        <v>2.2499999999999999E-2</v>
      </c>
      <c r="O33" s="2">
        <f t="shared" si="5"/>
        <v>1.3678974731528694E-2</v>
      </c>
      <c r="P33" s="2">
        <f t="shared" si="6"/>
        <v>4.5472542491700629</v>
      </c>
      <c r="Q33" s="2">
        <f t="shared" si="7"/>
        <v>2.5594510051961099</v>
      </c>
      <c r="R33" s="2">
        <f t="shared" si="8"/>
        <v>0.91610063037909395</v>
      </c>
      <c r="S33" s="2">
        <f t="shared" si="9"/>
        <v>0.9397927843982774</v>
      </c>
      <c r="T33" s="2">
        <f t="shared" si="10"/>
        <v>0.4997927843982754</v>
      </c>
    </row>
    <row r="34" spans="1:20" x14ac:dyDescent="0.25">
      <c r="A34" s="1">
        <f t="shared" si="11"/>
        <v>2019</v>
      </c>
      <c r="B34" s="1">
        <f t="shared" si="12"/>
        <v>0.33</v>
      </c>
      <c r="C34" s="1">
        <f t="shared" si="19"/>
        <v>0.2</v>
      </c>
      <c r="D34" s="1">
        <f t="shared" si="13"/>
        <v>0.01</v>
      </c>
      <c r="E34" s="1">
        <f t="shared" si="14"/>
        <v>0.05</v>
      </c>
      <c r="F34" s="1">
        <f t="shared" si="15"/>
        <v>1.2500000000000001E-2</v>
      </c>
      <c r="G34" s="2">
        <f t="shared" si="16"/>
        <v>8.9245136543269581</v>
      </c>
      <c r="H34" s="2">
        <f t="shared" si="17"/>
        <v>1.5722378710161773</v>
      </c>
      <c r="I34" s="2">
        <f t="shared" si="18"/>
        <v>1.3364274880254681</v>
      </c>
      <c r="J34" s="2">
        <f t="shared" si="0"/>
        <v>3.3864412970139006</v>
      </c>
      <c r="K34" s="2">
        <f t="shared" si="1"/>
        <v>2.5339506462990125</v>
      </c>
      <c r="L34" s="2">
        <f t="shared" si="2"/>
        <v>4.2473779248010608</v>
      </c>
      <c r="M34" s="2">
        <f t="shared" si="3"/>
        <v>2.5890775188001855E-2</v>
      </c>
      <c r="N34" s="2">
        <f t="shared" si="4"/>
        <v>2.2499999999999999E-2</v>
      </c>
      <c r="O34" s="2">
        <f t="shared" si="5"/>
        <v>1.3618955812040612E-2</v>
      </c>
      <c r="P34" s="2">
        <f t="shared" si="6"/>
        <v>4.5472542491700629</v>
      </c>
      <c r="Q34" s="2">
        <f t="shared" si="7"/>
        <v>2.5916449356355975</v>
      </c>
      <c r="R34" s="2">
        <f t="shared" si="8"/>
        <v>0.92977960511062252</v>
      </c>
      <c r="S34" s="2">
        <f t="shared" si="9"/>
        <v>0.95229278439827758</v>
      </c>
      <c r="T34" s="2">
        <f t="shared" si="10"/>
        <v>0.4997927843982754</v>
      </c>
    </row>
    <row r="35" spans="1:20" x14ac:dyDescent="0.25">
      <c r="A35" s="1">
        <f t="shared" si="11"/>
        <v>2020</v>
      </c>
      <c r="B35" s="1">
        <f t="shared" si="12"/>
        <v>0.33</v>
      </c>
      <c r="C35" s="1">
        <f t="shared" si="19"/>
        <v>0.2</v>
      </c>
      <c r="D35" s="1">
        <f t="shared" si="13"/>
        <v>0.01</v>
      </c>
      <c r="E35" s="1">
        <f t="shared" si="14"/>
        <v>0.05</v>
      </c>
      <c r="F35" s="1">
        <f t="shared" si="15"/>
        <v>1.2500000000000001E-2</v>
      </c>
      <c r="G35" s="2">
        <f t="shared" si="16"/>
        <v>9.1585934083696472</v>
      </c>
      <c r="H35" s="2">
        <f t="shared" si="17"/>
        <v>1.5920141888871044</v>
      </c>
      <c r="I35" s="2">
        <f t="shared" si="18"/>
        <v>1.349858807575999</v>
      </c>
      <c r="J35" s="2">
        <f t="shared" si="0"/>
        <v>3.46737755681646</v>
      </c>
      <c r="K35" s="2">
        <f t="shared" si="1"/>
        <v>2.5686964720724998</v>
      </c>
      <c r="L35" s="2">
        <f t="shared" si="2"/>
        <v>4.2618042729120873</v>
      </c>
      <c r="M35" s="2">
        <f t="shared" si="3"/>
        <v>2.5718560748592079E-2</v>
      </c>
      <c r="N35" s="2">
        <f t="shared" si="4"/>
        <v>2.2499999999999999E-2</v>
      </c>
      <c r="O35" s="2">
        <f t="shared" si="5"/>
        <v>1.3562125047035387E-2</v>
      </c>
      <c r="P35" s="2">
        <f t="shared" si="6"/>
        <v>4.5472542491700629</v>
      </c>
      <c r="Q35" s="2">
        <f t="shared" si="7"/>
        <v>2.6242438158690202</v>
      </c>
      <c r="R35" s="2">
        <f t="shared" si="8"/>
        <v>0.94339856092266317</v>
      </c>
      <c r="S35" s="2">
        <f t="shared" si="9"/>
        <v>0.96479278439827754</v>
      </c>
      <c r="T35" s="2">
        <f t="shared" si="10"/>
        <v>0.4997927843982754</v>
      </c>
    </row>
    <row r="36" spans="1:20" x14ac:dyDescent="0.25">
      <c r="A36" s="1">
        <f t="shared" si="11"/>
        <v>2021</v>
      </c>
      <c r="B36" s="1">
        <f t="shared" si="12"/>
        <v>0.33</v>
      </c>
      <c r="C36" s="1">
        <f t="shared" si="19"/>
        <v>0.2</v>
      </c>
      <c r="D36" s="1">
        <f t="shared" si="13"/>
        <v>0.01</v>
      </c>
      <c r="E36" s="1">
        <f t="shared" si="14"/>
        <v>0.05</v>
      </c>
      <c r="F36" s="1">
        <f t="shared" si="15"/>
        <v>1.2500000000000001E-2</v>
      </c>
      <c r="G36" s="2">
        <f t="shared" si="16"/>
        <v>9.3971943338884092</v>
      </c>
      <c r="H36" s="2">
        <f t="shared" si="17"/>
        <v>1.6120392622140234</v>
      </c>
      <c r="I36" s="2">
        <f t="shared" si="18"/>
        <v>1.3634251141321734</v>
      </c>
      <c r="J36" s="2">
        <f t="shared" si="0"/>
        <v>3.5500464431162126</v>
      </c>
      <c r="K36" s="2">
        <f t="shared" si="1"/>
        <v>2.603770758158459</v>
      </c>
      <c r="L36" s="2">
        <f t="shared" si="2"/>
        <v>4.2755432468638883</v>
      </c>
      <c r="M36" s="2">
        <f t="shared" si="3"/>
        <v>2.5555454468232972E-2</v>
      </c>
      <c r="N36" s="2">
        <f t="shared" si="4"/>
        <v>2.2499999999999999E-2</v>
      </c>
      <c r="O36" s="2">
        <f t="shared" si="5"/>
        <v>1.3508299974516882E-2</v>
      </c>
      <c r="P36" s="2">
        <f t="shared" si="6"/>
        <v>4.5472542491700629</v>
      </c>
      <c r="Q36" s="2">
        <f t="shared" si="7"/>
        <v>2.6572527395377383</v>
      </c>
      <c r="R36" s="2">
        <f t="shared" si="8"/>
        <v>0.95696068596969885</v>
      </c>
      <c r="S36" s="2">
        <f t="shared" si="9"/>
        <v>0.9772927843982776</v>
      </c>
      <c r="T36" s="2">
        <f t="shared" si="10"/>
        <v>0.4997927843982754</v>
      </c>
    </row>
    <row r="37" spans="1:20" x14ac:dyDescent="0.25">
      <c r="A37" s="1">
        <f t="shared" si="11"/>
        <v>2022</v>
      </c>
      <c r="B37" s="1">
        <f t="shared" si="12"/>
        <v>0.33</v>
      </c>
      <c r="C37" s="1">
        <f t="shared" si="19"/>
        <v>0.2</v>
      </c>
      <c r="D37" s="1">
        <f t="shared" si="13"/>
        <v>0.01</v>
      </c>
      <c r="E37" s="1">
        <f t="shared" si="14"/>
        <v>0.05</v>
      </c>
      <c r="F37" s="1">
        <f t="shared" si="15"/>
        <v>1.2500000000000001E-2</v>
      </c>
      <c r="G37" s="2">
        <f t="shared" si="16"/>
        <v>9.6404387789323955</v>
      </c>
      <c r="H37" s="2">
        <f t="shared" si="17"/>
        <v>1.6323162199553825</v>
      </c>
      <c r="I37" s="2">
        <f t="shared" si="18"/>
        <v>1.3771277643359525</v>
      </c>
      <c r="J37" s="2">
        <f t="shared" ref="J37:J68" si="20">G37^B37*(H37*I37)^(1-B37)</f>
        <v>3.6344906811599769</v>
      </c>
      <c r="K37" s="2">
        <f t="shared" ref="K37:K68" si="21">J37/I37</f>
        <v>2.6391819083776289</v>
      </c>
      <c r="L37" s="2">
        <f t="shared" ref="L37:L68" si="22">G37/(H37*I37)</f>
        <v>4.2886269527365224</v>
      </c>
      <c r="M37" s="2">
        <f t="shared" ref="M37:M68" si="23">C37*(1/L37)^(1-B37)-E37</f>
        <v>2.540093899258121E-2</v>
      </c>
      <c r="N37" s="2">
        <f t="shared" si="4"/>
        <v>2.2499999999999999E-2</v>
      </c>
      <c r="O37" s="2">
        <f t="shared" ref="O37:O68" si="24">B37*(M37-F37-D37)+F37</f>
        <v>1.34573098675518E-2</v>
      </c>
      <c r="P37" s="2">
        <f t="shared" si="6"/>
        <v>4.5472542491700629</v>
      </c>
      <c r="Q37" s="2">
        <f t="shared" si="7"/>
        <v>2.6906768643532319</v>
      </c>
      <c r="R37" s="2">
        <f t="shared" si="8"/>
        <v>0.97046898594421549</v>
      </c>
      <c r="S37" s="2">
        <f t="shared" si="9"/>
        <v>0.98979278439827767</v>
      </c>
      <c r="T37" s="2">
        <f t="shared" si="10"/>
        <v>0.4997927843982754</v>
      </c>
    </row>
    <row r="38" spans="1:20" x14ac:dyDescent="0.25">
      <c r="A38" s="1">
        <f t="shared" si="11"/>
        <v>2023</v>
      </c>
      <c r="B38" s="1">
        <f t="shared" si="12"/>
        <v>0.33</v>
      </c>
      <c r="C38" s="1">
        <f t="shared" si="19"/>
        <v>0.2</v>
      </c>
      <c r="D38" s="1">
        <f t="shared" si="13"/>
        <v>0.01</v>
      </c>
      <c r="E38" s="1">
        <f t="shared" si="14"/>
        <v>0.05</v>
      </c>
      <c r="F38" s="1">
        <f t="shared" si="15"/>
        <v>1.2500000000000001E-2</v>
      </c>
      <c r="G38" s="2">
        <f t="shared" si="16"/>
        <v>9.8884515196315732</v>
      </c>
      <c r="H38" s="2">
        <f t="shared" si="17"/>
        <v>1.6528482304270828</v>
      </c>
      <c r="I38" s="2">
        <f t="shared" si="18"/>
        <v>1.3909681284637756</v>
      </c>
      <c r="J38" s="2">
        <f t="shared" si="20"/>
        <v>3.7207538507722373</v>
      </c>
      <c r="K38" s="2">
        <f t="shared" si="21"/>
        <v>2.6749382495784015</v>
      </c>
      <c r="L38" s="2">
        <f t="shared" si="22"/>
        <v>4.3010860607070001</v>
      </c>
      <c r="M38" s="2">
        <f t="shared" si="23"/>
        <v>2.5254529860118433E-2</v>
      </c>
      <c r="N38" s="2">
        <f t="shared" si="4"/>
        <v>2.2499999999999999E-2</v>
      </c>
      <c r="O38" s="2">
        <f t="shared" si="24"/>
        <v>1.3408994853839083E-2</v>
      </c>
      <c r="P38" s="2">
        <f t="shared" si="6"/>
        <v>4.5472542491700629</v>
      </c>
      <c r="Q38" s="2">
        <f t="shared" si="7"/>
        <v>2.7245214129030053</v>
      </c>
      <c r="R38" s="2">
        <f t="shared" si="8"/>
        <v>0.9839262958117676</v>
      </c>
      <c r="S38" s="2">
        <f t="shared" si="9"/>
        <v>1.0022927843982776</v>
      </c>
      <c r="T38" s="2">
        <f t="shared" si="10"/>
        <v>0.4997927843982754</v>
      </c>
    </row>
    <row r="39" spans="1:20" x14ac:dyDescent="0.25">
      <c r="A39" s="1">
        <f t="shared" si="11"/>
        <v>2024</v>
      </c>
      <c r="B39" s="1">
        <f t="shared" si="12"/>
        <v>0.33</v>
      </c>
      <c r="C39" s="1">
        <f t="shared" si="19"/>
        <v>0.2</v>
      </c>
      <c r="D39" s="1">
        <f t="shared" si="13"/>
        <v>0.01</v>
      </c>
      <c r="E39" s="1">
        <f t="shared" si="14"/>
        <v>0.05</v>
      </c>
      <c r="F39" s="1">
        <f t="shared" si="15"/>
        <v>1.2500000000000001E-2</v>
      </c>
      <c r="G39" s="2">
        <f t="shared" si="16"/>
        <v>10.141359812066986</v>
      </c>
      <c r="H39" s="2">
        <f t="shared" si="17"/>
        <v>1.6736385017975333</v>
      </c>
      <c r="I39" s="2">
        <f t="shared" si="18"/>
        <v>1.4049475905635889</v>
      </c>
      <c r="J39" s="2">
        <f t="shared" si="20"/>
        <v>3.8088804113486021</v>
      </c>
      <c r="K39" s="2">
        <f t="shared" si="21"/>
        <v>2.7110480397497856</v>
      </c>
      <c r="L39" s="2">
        <f t="shared" si="22"/>
        <v>4.3129498627893845</v>
      </c>
      <c r="M39" s="2">
        <f t="shared" si="23"/>
        <v>2.5115773070520542E-2</v>
      </c>
      <c r="N39" s="2">
        <f t="shared" si="4"/>
        <v>2.2499999999999999E-2</v>
      </c>
      <c r="O39" s="2">
        <f t="shared" si="24"/>
        <v>1.3363205113271779E-2</v>
      </c>
      <c r="P39" s="2">
        <f t="shared" si="6"/>
        <v>4.5472542491700629</v>
      </c>
      <c r="Q39" s="2">
        <f t="shared" si="7"/>
        <v>2.7587916734666265</v>
      </c>
      <c r="R39" s="2">
        <f t="shared" si="8"/>
        <v>0.99733529066560667</v>
      </c>
      <c r="S39" s="2">
        <f t="shared" si="9"/>
        <v>1.0147927843982778</v>
      </c>
      <c r="T39" s="2">
        <f t="shared" si="10"/>
        <v>0.4997927843982754</v>
      </c>
    </row>
    <row r="40" spans="1:20" x14ac:dyDescent="0.25">
      <c r="A40" s="1">
        <f t="shared" si="11"/>
        <v>2025</v>
      </c>
      <c r="B40" s="1">
        <f t="shared" si="12"/>
        <v>0.33</v>
      </c>
      <c r="C40" s="1">
        <f t="shared" si="19"/>
        <v>0.2</v>
      </c>
      <c r="D40" s="1">
        <f t="shared" si="13"/>
        <v>0.01</v>
      </c>
      <c r="E40" s="1">
        <f t="shared" si="14"/>
        <v>0.05</v>
      </c>
      <c r="F40" s="1">
        <f t="shared" si="15"/>
        <v>1.2500000000000001E-2</v>
      </c>
      <c r="G40" s="2">
        <f t="shared" si="16"/>
        <v>10.399293446434324</v>
      </c>
      <c r="H40" s="2">
        <f t="shared" si="17"/>
        <v>1.6946902825889336</v>
      </c>
      <c r="I40" s="2">
        <f t="shared" si="18"/>
        <v>1.419067548593252</v>
      </c>
      <c r="J40" s="2">
        <f t="shared" si="20"/>
        <v>3.8989157270607895</v>
      </c>
      <c r="K40" s="2">
        <f t="shared" si="21"/>
        <v>2.7475194756767265</v>
      </c>
      <c r="L40" s="2">
        <f t="shared" si="22"/>
        <v>4.3242463289498421</v>
      </c>
      <c r="M40" s="2">
        <f t="shared" si="23"/>
        <v>2.4984242865031134E-2</v>
      </c>
      <c r="N40" s="2">
        <f t="shared" si="4"/>
        <v>2.2499999999999999E-2</v>
      </c>
      <c r="O40" s="2">
        <f t="shared" si="24"/>
        <v>1.3319800145460275E-2</v>
      </c>
      <c r="P40" s="2">
        <f t="shared" si="6"/>
        <v>4.5472542491700629</v>
      </c>
      <c r="Q40" s="2">
        <f t="shared" si="7"/>
        <v>2.7934930008420324</v>
      </c>
      <c r="R40" s="2">
        <f t="shared" si="8"/>
        <v>1.0106984957788787</v>
      </c>
      <c r="S40" s="2">
        <f t="shared" si="9"/>
        <v>1.0272927843982778</v>
      </c>
      <c r="T40" s="2">
        <f t="shared" si="10"/>
        <v>0.4997927843982754</v>
      </c>
    </row>
    <row r="41" spans="1:20" x14ac:dyDescent="0.25">
      <c r="A41" s="1">
        <f t="shared" si="11"/>
        <v>2026</v>
      </c>
      <c r="B41" s="1">
        <f t="shared" si="12"/>
        <v>0.33</v>
      </c>
      <c r="C41" s="1">
        <f t="shared" si="19"/>
        <v>0.2</v>
      </c>
      <c r="D41" s="1">
        <f t="shared" si="13"/>
        <v>0.01</v>
      </c>
      <c r="E41" s="1">
        <f t="shared" si="14"/>
        <v>0.05</v>
      </c>
      <c r="F41" s="1">
        <f t="shared" si="15"/>
        <v>1.2500000000000001E-2</v>
      </c>
      <c r="G41" s="2">
        <f t="shared" si="16"/>
        <v>10.6623848034396</v>
      </c>
      <c r="H41" s="2">
        <f t="shared" si="17"/>
        <v>1.7160068621848625</v>
      </c>
      <c r="I41" s="2">
        <f t="shared" si="18"/>
        <v>1.4333294145603348</v>
      </c>
      <c r="J41" s="2">
        <f t="shared" si="20"/>
        <v>3.9909060923070689</v>
      </c>
      <c r="K41" s="2">
        <f t="shared" si="21"/>
        <v>2.7843607001753017</v>
      </c>
      <c r="L41" s="2">
        <f t="shared" si="22"/>
        <v>4.335002161557779</v>
      </c>
      <c r="M41" s="2">
        <f t="shared" si="23"/>
        <v>2.4859539697341171E-2</v>
      </c>
      <c r="N41" s="2">
        <f t="shared" si="4"/>
        <v>2.2499999999999999E-2</v>
      </c>
      <c r="O41" s="2">
        <f t="shared" si="24"/>
        <v>1.3278648100122586E-2</v>
      </c>
      <c r="P41" s="2">
        <f t="shared" si="6"/>
        <v>4.5472542491700629</v>
      </c>
      <c r="Q41" s="2">
        <f t="shared" si="7"/>
        <v>2.828630817182225</v>
      </c>
      <c r="R41" s="2">
        <f t="shared" si="8"/>
        <v>1.0240182959243391</v>
      </c>
      <c r="S41" s="2">
        <f t="shared" si="9"/>
        <v>1.0397927843982777</v>
      </c>
      <c r="T41" s="2">
        <f t="shared" si="10"/>
        <v>0.4997927843982754</v>
      </c>
    </row>
    <row r="42" spans="1:20" x14ac:dyDescent="0.25">
      <c r="A42" s="1">
        <f t="shared" si="11"/>
        <v>2027</v>
      </c>
      <c r="B42" s="1">
        <f t="shared" si="12"/>
        <v>0.33</v>
      </c>
      <c r="C42" s="1">
        <f t="shared" si="19"/>
        <v>0.2</v>
      </c>
      <c r="D42" s="1">
        <f t="shared" si="13"/>
        <v>0.01</v>
      </c>
      <c r="E42" s="1">
        <f t="shared" si="14"/>
        <v>0.05</v>
      </c>
      <c r="F42" s="1">
        <f t="shared" si="15"/>
        <v>1.2500000000000001E-2</v>
      </c>
      <c r="G42" s="2">
        <f t="shared" si="16"/>
        <v>10.930768912874569</v>
      </c>
      <c r="H42" s="2">
        <f t="shared" si="17"/>
        <v>1.7375915713442509</v>
      </c>
      <c r="I42" s="2">
        <f t="shared" si="18"/>
        <v>1.4477346146633188</v>
      </c>
      <c r="J42" s="2">
        <f t="shared" si="20"/>
        <v>4.0848987574401452</v>
      </c>
      <c r="K42" s="2">
        <f t="shared" si="21"/>
        <v>2.8215798089417916</v>
      </c>
      <c r="L42" s="2">
        <f t="shared" si="22"/>
        <v>4.3452428481481142</v>
      </c>
      <c r="M42" s="2">
        <f t="shared" si="23"/>
        <v>2.4741288375950146E-2</v>
      </c>
      <c r="N42" s="2">
        <f t="shared" si="4"/>
        <v>2.2499999999999999E-2</v>
      </c>
      <c r="O42" s="2">
        <f t="shared" si="24"/>
        <v>1.3239625164063549E-2</v>
      </c>
      <c r="P42" s="2">
        <f t="shared" si="6"/>
        <v>4.5472542491700629</v>
      </c>
      <c r="Q42" s="2">
        <f t="shared" si="7"/>
        <v>2.8642106128424967</v>
      </c>
      <c r="R42" s="2">
        <f t="shared" si="8"/>
        <v>1.0372969440244617</v>
      </c>
      <c r="S42" s="2">
        <f t="shared" si="9"/>
        <v>1.0522927843982779</v>
      </c>
      <c r="T42" s="2">
        <f t="shared" si="10"/>
        <v>0.4997927843982754</v>
      </c>
    </row>
    <row r="43" spans="1:20" x14ac:dyDescent="0.25">
      <c r="A43" s="1">
        <f t="shared" si="11"/>
        <v>2028</v>
      </c>
      <c r="B43" s="1">
        <f t="shared" si="12"/>
        <v>0.33</v>
      </c>
      <c r="C43" s="1">
        <f t="shared" si="19"/>
        <v>0.2</v>
      </c>
      <c r="D43" s="1">
        <f t="shared" si="13"/>
        <v>0.01</v>
      </c>
      <c r="E43" s="1">
        <f t="shared" si="14"/>
        <v>0.05</v>
      </c>
      <c r="F43" s="1">
        <f t="shared" si="15"/>
        <v>1.2500000000000001E-2</v>
      </c>
      <c r="G43" s="2">
        <f t="shared" si="16"/>
        <v>11.2045835143276</v>
      </c>
      <c r="H43" s="2">
        <f t="shared" si="17"/>
        <v>1.7594477827218193</v>
      </c>
      <c r="I43" s="2">
        <f t="shared" si="18"/>
        <v>1.4622845894342187</v>
      </c>
      <c r="J43" s="2">
        <f t="shared" si="20"/>
        <v>4.1809419548026518</v>
      </c>
      <c r="K43" s="2">
        <f t="shared" si="21"/>
        <v>2.8591848570464147</v>
      </c>
      <c r="L43" s="2">
        <f t="shared" si="22"/>
        <v>4.3549927124817147</v>
      </c>
      <c r="M43" s="2">
        <f t="shared" si="23"/>
        <v>2.4629136361139517E-2</v>
      </c>
      <c r="N43" s="2">
        <f t="shared" si="4"/>
        <v>2.2499999999999999E-2</v>
      </c>
      <c r="O43" s="2">
        <f t="shared" si="24"/>
        <v>1.3202614999176042E-2</v>
      </c>
      <c r="P43" s="2">
        <f t="shared" si="6"/>
        <v>4.5472542491700629</v>
      </c>
      <c r="Q43" s="2">
        <f t="shared" si="7"/>
        <v>2.9002379472383071</v>
      </c>
      <c r="R43" s="2">
        <f t="shared" si="8"/>
        <v>1.0505365691885253</v>
      </c>
      <c r="S43" s="2">
        <f t="shared" si="9"/>
        <v>1.0647927843982778</v>
      </c>
      <c r="T43" s="2">
        <f t="shared" si="10"/>
        <v>0.4997927843982754</v>
      </c>
    </row>
    <row r="44" spans="1:20" x14ac:dyDescent="0.25">
      <c r="A44" s="1">
        <f t="shared" si="11"/>
        <v>2029</v>
      </c>
      <c r="B44" s="1">
        <f t="shared" si="12"/>
        <v>0.33</v>
      </c>
      <c r="C44" s="1">
        <f t="shared" si="19"/>
        <v>0.2</v>
      </c>
      <c r="D44" s="1">
        <f t="shared" si="13"/>
        <v>0.01</v>
      </c>
      <c r="E44" s="1">
        <f t="shared" si="14"/>
        <v>0.05</v>
      </c>
      <c r="F44" s="1">
        <f t="shared" si="15"/>
        <v>1.2500000000000001E-2</v>
      </c>
      <c r="G44" s="2">
        <f t="shared" si="16"/>
        <v>11.48396911999316</v>
      </c>
      <c r="H44" s="2">
        <f t="shared" si="17"/>
        <v>1.7815789113950624</v>
      </c>
      <c r="I44" s="2">
        <f t="shared" si="18"/>
        <v>1.4769807938826365</v>
      </c>
      <c r="J44" s="2">
        <f t="shared" si="20"/>
        <v>4.2790849250989025</v>
      </c>
      <c r="K44" s="2">
        <f t="shared" si="21"/>
        <v>2.8971838650996879</v>
      </c>
      <c r="L44" s="2">
        <f t="shared" si="22"/>
        <v>4.3642749639013205</v>
      </c>
      <c r="M44" s="2">
        <f t="shared" si="23"/>
        <v>2.4522752201574224E-2</v>
      </c>
      <c r="N44" s="2">
        <f t="shared" si="4"/>
        <v>2.2499999999999999E-2</v>
      </c>
      <c r="O44" s="2">
        <f t="shared" si="24"/>
        <v>1.3167508226519494E-2</v>
      </c>
      <c r="P44" s="2">
        <f t="shared" si="6"/>
        <v>4.5472542491700629</v>
      </c>
      <c r="Q44" s="2">
        <f t="shared" si="7"/>
        <v>2.9367184497139531</v>
      </c>
      <c r="R44" s="2">
        <f t="shared" si="8"/>
        <v>1.0637391841877013</v>
      </c>
      <c r="S44" s="2">
        <f t="shared" si="9"/>
        <v>1.077292784398278</v>
      </c>
      <c r="T44" s="2">
        <f t="shared" si="10"/>
        <v>0.4997927843982754</v>
      </c>
    </row>
    <row r="45" spans="1:20" x14ac:dyDescent="0.25">
      <c r="A45" s="1">
        <f t="shared" si="11"/>
        <v>2030</v>
      </c>
      <c r="B45" s="1">
        <f t="shared" si="12"/>
        <v>0.33</v>
      </c>
      <c r="C45" s="1">
        <f t="shared" si="19"/>
        <v>0.2</v>
      </c>
      <c r="D45" s="1">
        <f t="shared" si="13"/>
        <v>0.01</v>
      </c>
      <c r="E45" s="1">
        <f t="shared" si="14"/>
        <v>0.05</v>
      </c>
      <c r="F45" s="1">
        <f t="shared" si="15"/>
        <v>1.2500000000000001E-2</v>
      </c>
      <c r="G45" s="2">
        <f t="shared" si="16"/>
        <v>11.769069079549904</v>
      </c>
      <c r="H45" s="2">
        <f t="shared" si="17"/>
        <v>1.8039884153978614</v>
      </c>
      <c r="I45" s="2">
        <f t="shared" si="18"/>
        <v>1.4918246976412639</v>
      </c>
      <c r="J45" s="2">
        <f t="shared" si="20"/>
        <v>4.3793779441302325</v>
      </c>
      <c r="K45" s="2">
        <f t="shared" si="21"/>
        <v>2.9355848251168535</v>
      </c>
      <c r="L45" s="2">
        <f t="shared" si="22"/>
        <v>4.3731117449890347</v>
      </c>
      <c r="M45" s="2">
        <f t="shared" si="23"/>
        <v>2.442182409719898E-2</v>
      </c>
      <c r="N45" s="2">
        <f t="shared" si="4"/>
        <v>2.2499999999999999E-2</v>
      </c>
      <c r="O45" s="2">
        <f t="shared" si="24"/>
        <v>1.3134201952075663E-2</v>
      </c>
      <c r="P45" s="2">
        <f t="shared" si="6"/>
        <v>4.5472542491700629</v>
      </c>
      <c r="Q45" s="2">
        <f t="shared" si="7"/>
        <v>2.9736578204221669</v>
      </c>
      <c r="R45" s="2">
        <f t="shared" si="8"/>
        <v>1.076906692414221</v>
      </c>
      <c r="S45" s="2">
        <f t="shared" si="9"/>
        <v>1.089792784398278</v>
      </c>
      <c r="T45" s="2">
        <f t="shared" si="10"/>
        <v>0.4997927843982754</v>
      </c>
    </row>
    <row r="46" spans="1:20" x14ac:dyDescent="0.25">
      <c r="A46" s="1">
        <f t="shared" si="11"/>
        <v>2031</v>
      </c>
      <c r="B46" s="1">
        <f t="shared" si="12"/>
        <v>0.33</v>
      </c>
      <c r="C46" s="1">
        <f t="shared" si="19"/>
        <v>0.2</v>
      </c>
      <c r="D46" s="1">
        <f t="shared" si="13"/>
        <v>0.01</v>
      </c>
      <c r="E46" s="1">
        <f t="shared" si="14"/>
        <v>0.05</v>
      </c>
      <c r="F46" s="1">
        <f t="shared" si="15"/>
        <v>1.2500000000000001E-2</v>
      </c>
      <c r="G46" s="2">
        <f t="shared" si="16"/>
        <v>12.060029647083661</v>
      </c>
      <c r="H46" s="2">
        <f t="shared" si="17"/>
        <v>1.8266797962608092</v>
      </c>
      <c r="I46" s="2">
        <f t="shared" si="18"/>
        <v>1.506817785112847</v>
      </c>
      <c r="J46" s="2">
        <f t="shared" si="20"/>
        <v>4.4818723499200415</v>
      </c>
      <c r="K46" s="2">
        <f t="shared" si="21"/>
        <v>2.9743957061035018</v>
      </c>
      <c r="L46" s="2">
        <f t="shared" si="22"/>
        <v>4.381524177538882</v>
      </c>
      <c r="M46" s="2">
        <f t="shared" si="23"/>
        <v>2.4326058576544893E-2</v>
      </c>
      <c r="N46" s="2">
        <f t="shared" si="4"/>
        <v>2.2499999999999999E-2</v>
      </c>
      <c r="O46" s="2">
        <f t="shared" si="24"/>
        <v>1.3102599330259816E-2</v>
      </c>
      <c r="P46" s="2">
        <f t="shared" si="6"/>
        <v>4.5472542491700629</v>
      </c>
      <c r="Q46" s="2">
        <f t="shared" si="7"/>
        <v>3.0110618312147754</v>
      </c>
      <c r="R46" s="2">
        <f t="shared" si="8"/>
        <v>1.0900408943662967</v>
      </c>
      <c r="S46" s="2">
        <f t="shared" si="9"/>
        <v>1.1022927843982779</v>
      </c>
      <c r="T46" s="2">
        <f t="shared" si="10"/>
        <v>0.4997927843982754</v>
      </c>
    </row>
    <row r="47" spans="1:20" x14ac:dyDescent="0.25">
      <c r="A47" s="1">
        <f t="shared" si="11"/>
        <v>2032</v>
      </c>
      <c r="B47" s="1">
        <f t="shared" si="12"/>
        <v>0.33</v>
      </c>
      <c r="C47" s="1">
        <f t="shared" si="19"/>
        <v>0.2</v>
      </c>
      <c r="D47" s="1">
        <f t="shared" si="13"/>
        <v>0.01</v>
      </c>
      <c r="E47" s="1">
        <f t="shared" si="14"/>
        <v>0.05</v>
      </c>
      <c r="F47" s="1">
        <f t="shared" si="15"/>
        <v>1.2500000000000001E-2</v>
      </c>
      <c r="G47" s="2">
        <f t="shared" si="16"/>
        <v>12.357000050037451</v>
      </c>
      <c r="H47" s="2">
        <f t="shared" si="17"/>
        <v>1.8496565995583318</v>
      </c>
      <c r="I47" s="2">
        <f t="shared" si="18"/>
        <v>1.521961555618627</v>
      </c>
      <c r="J47" s="2">
        <f t="shared" si="20"/>
        <v>4.5866205702537135</v>
      </c>
      <c r="K47" s="2">
        <f t="shared" si="21"/>
        <v>3.013624459383538</v>
      </c>
      <c r="L47" s="2">
        <f t="shared" si="22"/>
        <v>4.3895324068642569</v>
      </c>
      <c r="M47" s="2">
        <f t="shared" si="23"/>
        <v>2.4235179277834723E-2</v>
      </c>
      <c r="N47" s="2">
        <f t="shared" si="4"/>
        <v>2.2499999999999999E-2</v>
      </c>
      <c r="O47" s="2">
        <f t="shared" si="24"/>
        <v>1.3072609161685459E-2</v>
      </c>
      <c r="P47" s="2">
        <f t="shared" si="6"/>
        <v>4.5472542491700629</v>
      </c>
      <c r="Q47" s="2">
        <f t="shared" si="7"/>
        <v>3.0489363265445646</v>
      </c>
      <c r="R47" s="2">
        <f t="shared" si="8"/>
        <v>1.1031434936965565</v>
      </c>
      <c r="S47" s="2">
        <f t="shared" si="9"/>
        <v>1.1147927843982779</v>
      </c>
      <c r="T47" s="2">
        <f t="shared" si="10"/>
        <v>0.4997927843982754</v>
      </c>
    </row>
    <row r="48" spans="1:20" x14ac:dyDescent="0.25">
      <c r="A48" s="1">
        <f t="shared" si="11"/>
        <v>2033</v>
      </c>
      <c r="B48" s="1">
        <f t="shared" si="12"/>
        <v>0.33</v>
      </c>
      <c r="C48" s="1">
        <f t="shared" si="19"/>
        <v>0.2</v>
      </c>
      <c r="D48" s="1">
        <f t="shared" si="13"/>
        <v>0.01</v>
      </c>
      <c r="E48" s="1">
        <f t="shared" si="14"/>
        <v>0.05</v>
      </c>
      <c r="F48" s="1">
        <f t="shared" si="15"/>
        <v>1.2500000000000001E-2</v>
      </c>
      <c r="G48" s="2">
        <f t="shared" si="16"/>
        <v>12.660132560176036</v>
      </c>
      <c r="H48" s="2">
        <f t="shared" si="17"/>
        <v>1.8729224154626909</v>
      </c>
      <c r="I48" s="2">
        <f t="shared" si="18"/>
        <v>1.5372575235482744</v>
      </c>
      <c r="J48" s="2">
        <f t="shared" si="20"/>
        <v>4.6936761506576818</v>
      </c>
      <c r="K48" s="2">
        <f t="shared" si="21"/>
        <v>3.0532790236887637</v>
      </c>
      <c r="L48" s="2">
        <f t="shared" si="22"/>
        <v>4.3971556444652888</v>
      </c>
      <c r="M48" s="2">
        <f t="shared" si="23"/>
        <v>2.4148925824397816E-2</v>
      </c>
      <c r="N48" s="2">
        <f t="shared" si="4"/>
        <v>2.2499999999999999E-2</v>
      </c>
      <c r="O48" s="2">
        <f t="shared" si="24"/>
        <v>1.3044145522051279E-2</v>
      </c>
      <c r="P48" s="2">
        <f t="shared" si="6"/>
        <v>4.5472542491700629</v>
      </c>
      <c r="Q48" s="2">
        <f t="shared" si="7"/>
        <v>3.0872872243784855</v>
      </c>
      <c r="R48" s="2">
        <f t="shared" si="8"/>
        <v>1.116216102858242</v>
      </c>
      <c r="S48" s="2">
        <f t="shared" si="9"/>
        <v>1.1272927843982781</v>
      </c>
      <c r="T48" s="2">
        <f t="shared" si="10"/>
        <v>0.4997927843982754</v>
      </c>
    </row>
    <row r="49" spans="1:20" x14ac:dyDescent="0.25">
      <c r="A49" s="1">
        <f t="shared" si="11"/>
        <v>2034</v>
      </c>
      <c r="B49" s="1">
        <f t="shared" si="12"/>
        <v>0.33</v>
      </c>
      <c r="C49" s="1">
        <f t="shared" si="19"/>
        <v>0.2</v>
      </c>
      <c r="D49" s="1">
        <f t="shared" si="13"/>
        <v>0.01</v>
      </c>
      <c r="E49" s="1">
        <f t="shared" si="14"/>
        <v>0.05</v>
      </c>
      <c r="F49" s="1">
        <f t="shared" si="15"/>
        <v>1.2500000000000001E-2</v>
      </c>
      <c r="G49" s="2">
        <f t="shared" si="16"/>
        <v>12.969582566557534</v>
      </c>
      <c r="H49" s="2">
        <f t="shared" si="17"/>
        <v>1.8964808793049563</v>
      </c>
      <c r="I49" s="2">
        <f t="shared" si="18"/>
        <v>1.5527072185113289</v>
      </c>
      <c r="J49" s="2">
        <f t="shared" si="20"/>
        <v>4.803093782841164</v>
      </c>
      <c r="K49" s="2">
        <f t="shared" si="21"/>
        <v>3.0933673300277245</v>
      </c>
      <c r="L49" s="2">
        <f t="shared" si="22"/>
        <v>4.404412209085554</v>
      </c>
      <c r="M49" s="2">
        <f t="shared" si="23"/>
        <v>2.4067052785894411E-2</v>
      </c>
      <c r="N49" s="2">
        <f t="shared" si="4"/>
        <v>2.2499999999999999E-2</v>
      </c>
      <c r="O49" s="2">
        <f t="shared" si="24"/>
        <v>1.3017127419345156E-2</v>
      </c>
      <c r="P49" s="2">
        <f t="shared" si="6"/>
        <v>4.5472542491700629</v>
      </c>
      <c r="Q49" s="2">
        <f t="shared" si="7"/>
        <v>3.1261205171223501</v>
      </c>
      <c r="R49" s="2">
        <f t="shared" si="8"/>
        <v>1.1292602483802934</v>
      </c>
      <c r="S49" s="2">
        <f t="shared" si="9"/>
        <v>1.139792784398278</v>
      </c>
      <c r="T49" s="2">
        <f t="shared" si="10"/>
        <v>0.4997927843982754</v>
      </c>
    </row>
    <row r="50" spans="1:20" x14ac:dyDescent="0.25">
      <c r="A50" s="1">
        <f t="shared" si="11"/>
        <v>2035</v>
      </c>
      <c r="B50" s="1">
        <f t="shared" si="12"/>
        <v>0.33</v>
      </c>
      <c r="C50" s="1">
        <f t="shared" si="19"/>
        <v>0.2</v>
      </c>
      <c r="D50" s="1">
        <f t="shared" si="13"/>
        <v>0.01</v>
      </c>
      <c r="E50" s="1">
        <f t="shared" si="14"/>
        <v>0.05</v>
      </c>
      <c r="F50" s="1">
        <f t="shared" si="15"/>
        <v>1.2500000000000001E-2</v>
      </c>
      <c r="G50" s="2">
        <f t="shared" si="16"/>
        <v>13.285508650509259</v>
      </c>
      <c r="H50" s="2">
        <f t="shared" si="17"/>
        <v>1.9203356721430336</v>
      </c>
      <c r="I50" s="2">
        <f t="shared" si="18"/>
        <v>1.5683121854901614</v>
      </c>
      <c r="J50" s="2">
        <f t="shared" si="20"/>
        <v>4.9149293336234905</v>
      </c>
      <c r="K50" s="2">
        <f t="shared" si="21"/>
        <v>3.1338973063499949</v>
      </c>
      <c r="L50" s="2">
        <f t="shared" si="22"/>
        <v>4.4113195661911195</v>
      </c>
      <c r="M50" s="2">
        <f t="shared" si="23"/>
        <v>2.3989328717724231E-2</v>
      </c>
      <c r="N50" s="2">
        <f t="shared" si="4"/>
        <v>2.2499999999999999E-2</v>
      </c>
      <c r="O50" s="2">
        <f t="shared" si="24"/>
        <v>1.2991478476848997E-2</v>
      </c>
      <c r="P50" s="2">
        <f t="shared" si="6"/>
        <v>4.5472542491700629</v>
      </c>
      <c r="Q50" s="2">
        <f t="shared" si="7"/>
        <v>3.1654422725571565</v>
      </c>
      <c r="R50" s="2">
        <f t="shared" si="8"/>
        <v>1.1422773757996383</v>
      </c>
      <c r="S50" s="2">
        <f t="shared" si="9"/>
        <v>1.1522927843982782</v>
      </c>
      <c r="T50" s="2">
        <f t="shared" si="10"/>
        <v>0.4997927843982754</v>
      </c>
    </row>
    <row r="51" spans="1:20" x14ac:dyDescent="0.25">
      <c r="A51" s="1">
        <f t="shared" si="11"/>
        <v>2036</v>
      </c>
      <c r="B51" s="1">
        <f t="shared" si="12"/>
        <v>0.33</v>
      </c>
      <c r="C51" s="1">
        <f t="shared" si="19"/>
        <v>0.2</v>
      </c>
      <c r="D51" s="1">
        <f t="shared" si="13"/>
        <v>0.01</v>
      </c>
      <c r="E51" s="1">
        <f t="shared" si="14"/>
        <v>0.05</v>
      </c>
      <c r="F51" s="1">
        <f t="shared" si="15"/>
        <v>1.2500000000000001E-2</v>
      </c>
      <c r="G51" s="2">
        <f t="shared" si="16"/>
        <v>13.608072662609299</v>
      </c>
      <c r="H51" s="2">
        <f t="shared" si="17"/>
        <v>1.9444905213368364</v>
      </c>
      <c r="I51" s="2">
        <f t="shared" si="18"/>
        <v>1.584073984994474</v>
      </c>
      <c r="J51" s="2">
        <f t="shared" si="20"/>
        <v>5.0292398743693969</v>
      </c>
      <c r="K51" s="2">
        <f t="shared" si="21"/>
        <v>3.1748768820207229</v>
      </c>
      <c r="L51" s="2">
        <f t="shared" si="22"/>
        <v>4.4178943659078262</v>
      </c>
      <c r="M51" s="2">
        <f t="shared" si="23"/>
        <v>2.3915535271767999E-2</v>
      </c>
      <c r="N51" s="2">
        <f t="shared" si="4"/>
        <v>2.2499999999999999E-2</v>
      </c>
      <c r="O51" s="2">
        <f t="shared" si="24"/>
        <v>1.2967126639683441E-2</v>
      </c>
      <c r="P51" s="2">
        <f t="shared" si="6"/>
        <v>4.5472542491700629</v>
      </c>
      <c r="Q51" s="2">
        <f t="shared" si="7"/>
        <v>3.2052586347871928</v>
      </c>
      <c r="R51" s="2">
        <f t="shared" si="8"/>
        <v>1.1552688542764877</v>
      </c>
      <c r="S51" s="2">
        <f t="shared" si="9"/>
        <v>1.1647927843982784</v>
      </c>
      <c r="T51" s="2">
        <f t="shared" si="10"/>
        <v>0.4997927843982754</v>
      </c>
    </row>
    <row r="52" spans="1:20" x14ac:dyDescent="0.25">
      <c r="A52" s="1">
        <f t="shared" si="11"/>
        <v>2037</v>
      </c>
      <c r="B52" s="1">
        <f t="shared" si="12"/>
        <v>0.33</v>
      </c>
      <c r="C52" s="1">
        <f t="shared" si="19"/>
        <v>0.2</v>
      </c>
      <c r="D52" s="1">
        <f t="shared" si="13"/>
        <v>0.01</v>
      </c>
      <c r="E52" s="1">
        <f t="shared" si="14"/>
        <v>0.05</v>
      </c>
      <c r="F52" s="1">
        <f t="shared" si="15"/>
        <v>1.2500000000000001E-2</v>
      </c>
      <c r="G52" s="2">
        <f t="shared" si="16"/>
        <v>13.937439801679387</v>
      </c>
      <c r="H52" s="2">
        <f t="shared" si="17"/>
        <v>1.9689492011306948</v>
      </c>
      <c r="I52" s="2">
        <f t="shared" si="18"/>
        <v>1.5999941932173523</v>
      </c>
      <c r="J52" s="2">
        <f t="shared" si="20"/>
        <v>5.1460837109541986</v>
      </c>
      <c r="K52" s="2">
        <f t="shared" si="21"/>
        <v>3.2163139921190487</v>
      </c>
      <c r="L52" s="2">
        <f t="shared" si="22"/>
        <v>4.4241524794549747</v>
      </c>
      <c r="M52" s="2">
        <f t="shared" si="23"/>
        <v>2.3845466372297772E-2</v>
      </c>
      <c r="N52" s="2">
        <f t="shared" si="4"/>
        <v>2.2499999999999999E-2</v>
      </c>
      <c r="O52" s="2">
        <f t="shared" si="24"/>
        <v>1.2944003902858265E-2</v>
      </c>
      <c r="P52" s="2">
        <f t="shared" si="6"/>
        <v>4.5472542491700629</v>
      </c>
      <c r="Q52" s="2">
        <f t="shared" si="7"/>
        <v>3.2455758252000635</v>
      </c>
      <c r="R52" s="2">
        <f t="shared" si="8"/>
        <v>1.1682359809161713</v>
      </c>
      <c r="S52" s="2">
        <f t="shared" si="9"/>
        <v>1.1772927843982783</v>
      </c>
      <c r="T52" s="2">
        <f t="shared" si="10"/>
        <v>0.4997927843982754</v>
      </c>
    </row>
    <row r="53" spans="1:20" x14ac:dyDescent="0.25">
      <c r="A53" s="1">
        <f t="shared" si="11"/>
        <v>2038</v>
      </c>
      <c r="B53" s="1">
        <f t="shared" si="12"/>
        <v>0.33</v>
      </c>
      <c r="C53" s="1">
        <f t="shared" si="19"/>
        <v>0.2</v>
      </c>
      <c r="D53" s="1">
        <f t="shared" si="13"/>
        <v>0.01</v>
      </c>
      <c r="E53" s="1">
        <f t="shared" si="14"/>
        <v>0.05</v>
      </c>
      <c r="F53" s="1">
        <f t="shared" si="15"/>
        <v>1.2500000000000001E-2</v>
      </c>
      <c r="G53" s="2">
        <f t="shared" si="16"/>
        <v>14.27377869579842</v>
      </c>
      <c r="H53" s="2">
        <f t="shared" si="17"/>
        <v>1.993715533243088</v>
      </c>
      <c r="I53" s="2">
        <f t="shared" si="18"/>
        <v>1.6160744021928852</v>
      </c>
      <c r="J53" s="2">
        <f t="shared" si="20"/>
        <v>5.2655204142804459</v>
      </c>
      <c r="K53" s="2">
        <f t="shared" si="21"/>
        <v>3.2582165815729467</v>
      </c>
      <c r="L53" s="2">
        <f t="shared" si="22"/>
        <v>4.430109034115409</v>
      </c>
      <c r="M53" s="2">
        <f t="shared" si="23"/>
        <v>2.37789274515008E-2</v>
      </c>
      <c r="N53" s="2">
        <f t="shared" si="4"/>
        <v>2.2499999999999999E-2</v>
      </c>
      <c r="O53" s="2">
        <f t="shared" si="24"/>
        <v>1.2922046058995265E-2</v>
      </c>
      <c r="P53" s="2">
        <f t="shared" si="6"/>
        <v>4.5472542491700629</v>
      </c>
      <c r="Q53" s="2">
        <f t="shared" si="7"/>
        <v>3.2864001434387968</v>
      </c>
      <c r="R53" s="2">
        <f t="shared" si="8"/>
        <v>1.1811799848190294</v>
      </c>
      <c r="S53" s="2">
        <f t="shared" si="9"/>
        <v>1.1897927843982783</v>
      </c>
      <c r="T53" s="2">
        <f t="shared" si="10"/>
        <v>0.4997927843982754</v>
      </c>
    </row>
    <row r="54" spans="1:20" x14ac:dyDescent="0.25">
      <c r="A54" s="1">
        <f t="shared" si="11"/>
        <v>2039</v>
      </c>
      <c r="B54" s="1">
        <f t="shared" si="12"/>
        <v>0.33</v>
      </c>
      <c r="C54" s="1">
        <f t="shared" si="19"/>
        <v>0.2</v>
      </c>
      <c r="D54" s="1">
        <f t="shared" si="13"/>
        <v>0.01</v>
      </c>
      <c r="E54" s="1">
        <f t="shared" si="14"/>
        <v>0.05</v>
      </c>
      <c r="F54" s="1">
        <f t="shared" si="15"/>
        <v>1.2500000000000001E-2</v>
      </c>
      <c r="G54" s="2">
        <f t="shared" si="16"/>
        <v>14.617261485349541</v>
      </c>
      <c r="H54" s="2">
        <f t="shared" si="17"/>
        <v>2.0187933874637962</v>
      </c>
      <c r="I54" s="2">
        <f t="shared" si="18"/>
        <v>1.6323162199553705</v>
      </c>
      <c r="J54" s="2">
        <f t="shared" si="20"/>
        <v>5.38761085136733</v>
      </c>
      <c r="K54" s="2">
        <f t="shared" si="21"/>
        <v>3.3005926091420164</v>
      </c>
      <c r="L54" s="2">
        <f t="shared" si="22"/>
        <v>4.4357784467832619</v>
      </c>
      <c r="M54" s="2">
        <f t="shared" si="23"/>
        <v>2.3715734739604671E-2</v>
      </c>
      <c r="N54" s="2">
        <f t="shared" si="4"/>
        <v>2.2499999999999999E-2</v>
      </c>
      <c r="O54" s="2">
        <f t="shared" si="24"/>
        <v>1.2901192464069542E-2</v>
      </c>
      <c r="P54" s="2">
        <f t="shared" si="6"/>
        <v>4.5472542491700629</v>
      </c>
      <c r="Q54" s="2">
        <f t="shared" si="7"/>
        <v>3.3277379683861756</v>
      </c>
      <c r="R54" s="2">
        <f t="shared" si="8"/>
        <v>1.1941020308780246</v>
      </c>
      <c r="S54" s="2">
        <f t="shared" si="9"/>
        <v>1.2022927843982782</v>
      </c>
      <c r="T54" s="2">
        <f t="shared" si="10"/>
        <v>0.4997927843982754</v>
      </c>
    </row>
    <row r="55" spans="1:20" x14ac:dyDescent="0.25">
      <c r="A55" s="1">
        <f t="shared" si="11"/>
        <v>2040</v>
      </c>
      <c r="B55" s="1">
        <f t="shared" si="12"/>
        <v>0.33</v>
      </c>
      <c r="C55" s="1">
        <f t="shared" si="19"/>
        <v>0.2</v>
      </c>
      <c r="D55" s="1">
        <f t="shared" si="13"/>
        <v>0.01</v>
      </c>
      <c r="E55" s="1">
        <f t="shared" si="14"/>
        <v>0.05</v>
      </c>
      <c r="F55" s="1">
        <f t="shared" si="15"/>
        <v>1.2500000000000001E-2</v>
      </c>
      <c r="G55" s="2">
        <f t="shared" si="16"/>
        <v>14.968063908117045</v>
      </c>
      <c r="H55" s="2">
        <f t="shared" si="17"/>
        <v>2.0441866822585628</v>
      </c>
      <c r="I55" s="2">
        <f t="shared" si="18"/>
        <v>1.6487212707001193</v>
      </c>
      <c r="J55" s="2">
        <f t="shared" si="20"/>
        <v>5.5124172170338941</v>
      </c>
      <c r="K55" s="2">
        <f t="shared" si="21"/>
        <v>3.3434500512588645</v>
      </c>
      <c r="L55" s="2">
        <f t="shared" si="22"/>
        <v>4.4411744561316029</v>
      </c>
      <c r="M55" s="2">
        <f t="shared" si="23"/>
        <v>2.3655714605074096E-2</v>
      </c>
      <c r="N55" s="2">
        <f t="shared" si="4"/>
        <v>2.2499999999999999E-2</v>
      </c>
      <c r="O55" s="2">
        <f t="shared" si="24"/>
        <v>1.2881385819674452E-2</v>
      </c>
      <c r="P55" s="2">
        <f t="shared" si="6"/>
        <v>4.5472542491700629</v>
      </c>
      <c r="Q55" s="2">
        <f t="shared" si="7"/>
        <v>3.3695957591614505</v>
      </c>
      <c r="R55" s="2">
        <f t="shared" si="8"/>
        <v>1.2070032233420942</v>
      </c>
      <c r="S55" s="2">
        <f t="shared" si="9"/>
        <v>1.2147927843982784</v>
      </c>
      <c r="T55" s="2">
        <f t="shared" si="10"/>
        <v>0.4997927843982754</v>
      </c>
    </row>
    <row r="56" spans="1:20" x14ac:dyDescent="0.25">
      <c r="A56" s="1">
        <f t="shared" si="11"/>
        <v>2041</v>
      </c>
      <c r="B56" s="1">
        <f t="shared" si="12"/>
        <v>0.33</v>
      </c>
      <c r="C56" s="1">
        <f t="shared" si="19"/>
        <v>0.2</v>
      </c>
      <c r="D56" s="1">
        <f t="shared" si="13"/>
        <v>0.01</v>
      </c>
      <c r="E56" s="1">
        <f t="shared" si="14"/>
        <v>0.05</v>
      </c>
      <c r="F56" s="1">
        <f t="shared" si="15"/>
        <v>1.2500000000000001E-2</v>
      </c>
      <c r="G56" s="2">
        <f t="shared" si="16"/>
        <v>15.326365386452551</v>
      </c>
      <c r="H56" s="2">
        <f t="shared" si="17"/>
        <v>2.0698993853813623</v>
      </c>
      <c r="I56" s="2">
        <f t="shared" si="18"/>
        <v>1.6652911949458773</v>
      </c>
      <c r="J56" s="2">
        <f t="shared" si="20"/>
        <v>5.6400030661969627</v>
      </c>
      <c r="K56" s="2">
        <f t="shared" si="21"/>
        <v>3.386796905738918</v>
      </c>
      <c r="L56" s="2">
        <f t="shared" si="22"/>
        <v>4.4463101534427949</v>
      </c>
      <c r="M56" s="2">
        <f t="shared" si="23"/>
        <v>2.3598702940781202E-2</v>
      </c>
      <c r="N56" s="2">
        <f t="shared" si="4"/>
        <v>2.2499999999999999E-2</v>
      </c>
      <c r="O56" s="2">
        <f t="shared" si="24"/>
        <v>1.2862571970457797E-2</v>
      </c>
      <c r="P56" s="2">
        <f t="shared" si="6"/>
        <v>4.5472542491700629</v>
      </c>
      <c r="Q56" s="2">
        <f t="shared" si="7"/>
        <v>3.4119800561295897</v>
      </c>
      <c r="R56" s="2">
        <f t="shared" si="8"/>
        <v>1.2198846091617688</v>
      </c>
      <c r="S56" s="2">
        <f t="shared" si="9"/>
        <v>1.2272927843982784</v>
      </c>
      <c r="T56" s="2">
        <f t="shared" si="10"/>
        <v>0.4997927843982754</v>
      </c>
    </row>
    <row r="57" spans="1:20" x14ac:dyDescent="0.25">
      <c r="A57" s="1">
        <f t="shared" si="11"/>
        <v>2042</v>
      </c>
      <c r="B57" s="1">
        <f t="shared" si="12"/>
        <v>0.33</v>
      </c>
      <c r="C57" s="1">
        <f t="shared" si="19"/>
        <v>0.2</v>
      </c>
      <c r="D57" s="1">
        <f t="shared" si="13"/>
        <v>0.01</v>
      </c>
      <c r="E57" s="1">
        <f t="shared" si="14"/>
        <v>0.05</v>
      </c>
      <c r="F57" s="1">
        <f t="shared" si="15"/>
        <v>1.2500000000000001E-2</v>
      </c>
      <c r="G57" s="2">
        <f t="shared" si="16"/>
        <v>15.692349116532876</v>
      </c>
      <c r="H57" s="2">
        <f t="shared" si="17"/>
        <v>2.0959355144943705</v>
      </c>
      <c r="I57" s="2">
        <f t="shared" si="18"/>
        <v>1.6820276496988771</v>
      </c>
      <c r="J57" s="2">
        <f t="shared" si="20"/>
        <v>5.7704333468045705</v>
      </c>
      <c r="K57" s="2">
        <f t="shared" si="21"/>
        <v>3.4306411953677545</v>
      </c>
      <c r="L57" s="2">
        <f t="shared" si="22"/>
        <v>4.451198012144677</v>
      </c>
      <c r="M57" s="2">
        <f t="shared" si="23"/>
        <v>2.354454459243524E-2</v>
      </c>
      <c r="N57" s="2">
        <f t="shared" si="4"/>
        <v>2.2499999999999999E-2</v>
      </c>
      <c r="O57" s="2">
        <f t="shared" si="24"/>
        <v>1.284469971550363E-2</v>
      </c>
      <c r="P57" s="2">
        <f t="shared" si="6"/>
        <v>4.5472542491700629</v>
      </c>
      <c r="Q57" s="2">
        <f t="shared" si="7"/>
        <v>3.4548974819232265</v>
      </c>
      <c r="R57" s="2">
        <f t="shared" si="8"/>
        <v>1.2327471811322266</v>
      </c>
      <c r="S57" s="2">
        <f t="shared" si="9"/>
        <v>1.2397927843982783</v>
      </c>
      <c r="T57" s="2">
        <f t="shared" si="10"/>
        <v>0.4997927843982754</v>
      </c>
    </row>
    <row r="58" spans="1:20" x14ac:dyDescent="0.25">
      <c r="A58" s="1">
        <f t="shared" si="11"/>
        <v>2043</v>
      </c>
      <c r="B58" s="1">
        <f t="shared" si="12"/>
        <v>0.33</v>
      </c>
      <c r="C58" s="1">
        <f t="shared" si="19"/>
        <v>0.2</v>
      </c>
      <c r="D58" s="1">
        <f t="shared" si="13"/>
        <v>0.01</v>
      </c>
      <c r="E58" s="1">
        <f t="shared" si="14"/>
        <v>0.05</v>
      </c>
      <c r="F58" s="1">
        <f t="shared" si="15"/>
        <v>1.2500000000000001E-2</v>
      </c>
      <c r="G58" s="2">
        <f t="shared" si="16"/>
        <v>16.066202159734875</v>
      </c>
      <c r="H58" s="2">
        <f t="shared" si="17"/>
        <v>2.1222991377957325</v>
      </c>
      <c r="I58" s="2">
        <f t="shared" si="18"/>
        <v>1.6989323086185411</v>
      </c>
      <c r="J58" s="2">
        <f t="shared" si="20"/>
        <v>5.9037744334256379</v>
      </c>
      <c r="K58" s="2">
        <f t="shared" si="21"/>
        <v>3.4749909713743659</v>
      </c>
      <c r="L58" s="2">
        <f t="shared" si="22"/>
        <v>4.4558499160957155</v>
      </c>
      <c r="M58" s="2">
        <f t="shared" si="23"/>
        <v>2.3493092825903589E-2</v>
      </c>
      <c r="N58" s="2">
        <f t="shared" si="4"/>
        <v>2.2499999999999999E-2</v>
      </c>
      <c r="O58" s="2">
        <f t="shared" si="24"/>
        <v>1.2827720632548185E-2</v>
      </c>
      <c r="P58" s="2">
        <f t="shared" si="6"/>
        <v>4.5472542491700629</v>
      </c>
      <c r="Q58" s="2">
        <f t="shared" si="7"/>
        <v>3.4983547424774577</v>
      </c>
      <c r="R58" s="2">
        <f t="shared" si="8"/>
        <v>1.2455918808477302</v>
      </c>
      <c r="S58" s="2">
        <f t="shared" si="9"/>
        <v>1.2522927843982783</v>
      </c>
      <c r="T58" s="2">
        <f t="shared" si="10"/>
        <v>0.4997927843982754</v>
      </c>
    </row>
    <row r="59" spans="1:20" x14ac:dyDescent="0.25">
      <c r="A59" s="1">
        <f t="shared" si="11"/>
        <v>2044</v>
      </c>
      <c r="B59" s="1">
        <f t="shared" si="12"/>
        <v>0.33</v>
      </c>
      <c r="C59" s="1">
        <f t="shared" si="19"/>
        <v>0.2</v>
      </c>
      <c r="D59" s="1">
        <f t="shared" si="13"/>
        <v>0.01</v>
      </c>
      <c r="E59" s="1">
        <f t="shared" si="14"/>
        <v>0.05</v>
      </c>
      <c r="F59" s="1">
        <f t="shared" si="15"/>
        <v>1.2500000000000001E-2</v>
      </c>
      <c r="G59" s="2">
        <f t="shared" si="16"/>
        <v>16.448115536155267</v>
      </c>
      <c r="H59" s="2">
        <f t="shared" si="17"/>
        <v>2.1489943746552265</v>
      </c>
      <c r="I59" s="2">
        <f t="shared" si="18"/>
        <v>1.7160068621848485</v>
      </c>
      <c r="J59" s="2">
        <f t="shared" si="20"/>
        <v>6.0400941615166026</v>
      </c>
      <c r="K59" s="2">
        <f t="shared" si="21"/>
        <v>3.5198543167981589</v>
      </c>
      <c r="L59" s="2">
        <f t="shared" si="22"/>
        <v>4.460277186662152</v>
      </c>
      <c r="M59" s="2">
        <f t="shared" si="23"/>
        <v>2.3444208830362717E-2</v>
      </c>
      <c r="N59" s="2">
        <f t="shared" si="4"/>
        <v>2.2499999999999999E-2</v>
      </c>
      <c r="O59" s="2">
        <f t="shared" si="24"/>
        <v>1.2811588914019697E-2</v>
      </c>
      <c r="P59" s="2">
        <f t="shared" si="6"/>
        <v>4.5472542491700629</v>
      </c>
      <c r="Q59" s="2">
        <f t="shared" si="7"/>
        <v>3.5423586280776589</v>
      </c>
      <c r="R59" s="2">
        <f t="shared" si="8"/>
        <v>1.2584196014802786</v>
      </c>
      <c r="S59" s="2">
        <f t="shared" si="9"/>
        <v>1.2647927843982782</v>
      </c>
      <c r="T59" s="2">
        <f t="shared" si="10"/>
        <v>0.4997927843982754</v>
      </c>
    </row>
    <row r="60" spans="1:20" x14ac:dyDescent="0.25">
      <c r="A60" s="1">
        <f t="shared" si="11"/>
        <v>2045</v>
      </c>
      <c r="B60" s="1">
        <f t="shared" si="12"/>
        <v>0.33</v>
      </c>
      <c r="C60" s="1">
        <f t="shared" si="19"/>
        <v>0.2</v>
      </c>
      <c r="D60" s="1">
        <f t="shared" si="13"/>
        <v>0.01</v>
      </c>
      <c r="E60" s="1">
        <f t="shared" si="14"/>
        <v>0.05</v>
      </c>
      <c r="F60" s="1">
        <f t="shared" si="15"/>
        <v>1.2500000000000001E-2</v>
      </c>
      <c r="G60" s="2">
        <f t="shared" si="16"/>
        <v>16.838284320305988</v>
      </c>
      <c r="H60" s="2">
        <f t="shared" si="17"/>
        <v>2.176025396257923</v>
      </c>
      <c r="I60" s="2">
        <f t="shared" si="18"/>
        <v>1.7332530178673851</v>
      </c>
      <c r="J60" s="2">
        <f t="shared" si="20"/>
        <v>6.179461862385744</v>
      </c>
      <c r="K60" s="2">
        <f t="shared" si="21"/>
        <v>3.5652393497569252</v>
      </c>
      <c r="L60" s="2">
        <f t="shared" si="22"/>
        <v>4.4644906086297462</v>
      </c>
      <c r="M60" s="2">
        <f t="shared" si="23"/>
        <v>2.3397761254496399E-2</v>
      </c>
      <c r="N60" s="2">
        <f t="shared" si="4"/>
        <v>2.2499999999999999E-2</v>
      </c>
      <c r="O60" s="2">
        <f t="shared" si="24"/>
        <v>1.2796261213983811E-2</v>
      </c>
      <c r="P60" s="2">
        <f t="shared" si="6"/>
        <v>4.5472542491700629</v>
      </c>
      <c r="Q60" s="2">
        <f t="shared" si="7"/>
        <v>3.5869160144204817</v>
      </c>
      <c r="R60" s="2">
        <f t="shared" si="8"/>
        <v>1.2712311903942983</v>
      </c>
      <c r="S60" s="2">
        <f t="shared" si="9"/>
        <v>1.2772927843982782</v>
      </c>
      <c r="T60" s="2">
        <f t="shared" si="10"/>
        <v>0.4997927843982754</v>
      </c>
    </row>
    <row r="61" spans="1:20" x14ac:dyDescent="0.25">
      <c r="A61" s="1">
        <f t="shared" si="11"/>
        <v>2046</v>
      </c>
      <c r="B61" s="1">
        <f t="shared" si="12"/>
        <v>0.33</v>
      </c>
      <c r="C61" s="1">
        <f t="shared" si="19"/>
        <v>0.2</v>
      </c>
      <c r="D61" s="1">
        <f t="shared" si="13"/>
        <v>0.01</v>
      </c>
      <c r="E61" s="1">
        <f t="shared" si="14"/>
        <v>0.05</v>
      </c>
      <c r="F61" s="1">
        <f t="shared" si="15"/>
        <v>1.2500000000000001E-2</v>
      </c>
      <c r="G61" s="2">
        <f t="shared" si="16"/>
        <v>17.236907739018168</v>
      </c>
      <c r="H61" s="2">
        <f t="shared" si="17"/>
        <v>2.2033964262559431</v>
      </c>
      <c r="I61" s="2">
        <f t="shared" si="18"/>
        <v>1.7506725002960906</v>
      </c>
      <c r="J61" s="2">
        <f t="shared" si="20"/>
        <v>6.3219483988760725</v>
      </c>
      <c r="K61" s="2">
        <f t="shared" si="21"/>
        <v>3.6111542266225372</v>
      </c>
      <c r="L61" s="2">
        <f t="shared" si="22"/>
        <v>4.4685004549922684</v>
      </c>
      <c r="M61" s="2">
        <f t="shared" si="23"/>
        <v>2.3353625773205849E-2</v>
      </c>
      <c r="N61" s="2">
        <f t="shared" si="4"/>
        <v>2.2499999999999999E-2</v>
      </c>
      <c r="O61" s="2">
        <f t="shared" si="24"/>
        <v>1.2781696505157931E-2</v>
      </c>
      <c r="P61" s="2">
        <f t="shared" si="6"/>
        <v>4.5472542491700629</v>
      </c>
      <c r="Q61" s="2">
        <f t="shared" si="7"/>
        <v>3.6320338636881955</v>
      </c>
      <c r="R61" s="2">
        <f t="shared" si="8"/>
        <v>1.2840274516082821</v>
      </c>
      <c r="S61" s="2">
        <f t="shared" si="9"/>
        <v>1.2897927843982784</v>
      </c>
      <c r="T61" s="2">
        <f t="shared" si="10"/>
        <v>0.4997927843982754</v>
      </c>
    </row>
    <row r="62" spans="1:20" x14ac:dyDescent="0.25">
      <c r="A62" s="1">
        <f t="shared" si="11"/>
        <v>2047</v>
      </c>
      <c r="B62" s="1">
        <f t="shared" si="12"/>
        <v>0.33</v>
      </c>
      <c r="C62" s="1">
        <f t="shared" si="19"/>
        <v>0.2</v>
      </c>
      <c r="D62" s="1">
        <f t="shared" si="13"/>
        <v>0.01</v>
      </c>
      <c r="E62" s="1">
        <f t="shared" si="14"/>
        <v>0.05</v>
      </c>
      <c r="F62" s="1">
        <f t="shared" si="15"/>
        <v>1.2500000000000001E-2</v>
      </c>
      <c r="G62" s="2">
        <f t="shared" si="16"/>
        <v>17.644189271590147</v>
      </c>
      <c r="H62" s="2">
        <f t="shared" si="17"/>
        <v>2.2311117414284105</v>
      </c>
      <c r="I62" s="2">
        <f t="shared" si="18"/>
        <v>1.7682670514337244</v>
      </c>
      <c r="J62" s="2">
        <f t="shared" si="20"/>
        <v>6.4676262017876489</v>
      </c>
      <c r="K62" s="2">
        <f t="shared" si="21"/>
        <v>3.6576071451106031</v>
      </c>
      <c r="L62" s="2">
        <f t="shared" si="22"/>
        <v>4.472316510658243</v>
      </c>
      <c r="M62" s="2">
        <f t="shared" si="23"/>
        <v>2.3311684682520636E-2</v>
      </c>
      <c r="N62" s="2">
        <f t="shared" si="4"/>
        <v>2.2499999999999999E-2</v>
      </c>
      <c r="O62" s="2">
        <f t="shared" si="24"/>
        <v>1.2767855945231811E-2</v>
      </c>
      <c r="P62" s="2">
        <f t="shared" si="6"/>
        <v>4.5472542491700629</v>
      </c>
      <c r="Q62" s="2">
        <f t="shared" si="7"/>
        <v>3.6777192256365403</v>
      </c>
      <c r="R62" s="2">
        <f t="shared" si="8"/>
        <v>1.2968091481134398</v>
      </c>
      <c r="S62" s="2">
        <f t="shared" si="9"/>
        <v>1.3022927843982783</v>
      </c>
      <c r="T62" s="2">
        <f t="shared" si="10"/>
        <v>0.4997927843982754</v>
      </c>
    </row>
    <row r="63" spans="1:20" x14ac:dyDescent="0.25">
      <c r="A63" s="1">
        <f t="shared" si="11"/>
        <v>2048</v>
      </c>
      <c r="B63" s="1">
        <f t="shared" si="12"/>
        <v>0.33</v>
      </c>
      <c r="C63" s="1">
        <f t="shared" si="19"/>
        <v>0.2</v>
      </c>
      <c r="D63" s="1">
        <f t="shared" si="13"/>
        <v>0.01</v>
      </c>
      <c r="E63" s="1">
        <f t="shared" si="14"/>
        <v>0.05</v>
      </c>
      <c r="F63" s="1">
        <f t="shared" si="15"/>
        <v>1.2500000000000001E-2</v>
      </c>
      <c r="G63" s="2">
        <f t="shared" si="16"/>
        <v>18.060336752217307</v>
      </c>
      <c r="H63" s="2">
        <f t="shared" si="17"/>
        <v>2.2591756723497083</v>
      </c>
      <c r="I63" s="2">
        <f t="shared" si="18"/>
        <v>1.7860384307500623</v>
      </c>
      <c r="J63" s="2">
        <f t="shared" si="20"/>
        <v>6.6165693070604563</v>
      </c>
      <c r="K63" s="2">
        <f t="shared" si="21"/>
        <v>3.7046063472899466</v>
      </c>
      <c r="L63" s="2">
        <f t="shared" si="22"/>
        <v>4.4759480951166841</v>
      </c>
      <c r="M63" s="2">
        <f t="shared" si="23"/>
        <v>2.3271826520600489E-2</v>
      </c>
      <c r="N63" s="2">
        <f t="shared" si="4"/>
        <v>2.2499999999999999E-2</v>
      </c>
      <c r="O63" s="2">
        <f t="shared" si="24"/>
        <v>1.2754702751798162E-2</v>
      </c>
      <c r="P63" s="2">
        <f t="shared" si="6"/>
        <v>4.5472542491700629</v>
      </c>
      <c r="Q63" s="2">
        <f t="shared" si="7"/>
        <v>3.7239792386962693</v>
      </c>
      <c r="R63" s="2">
        <f t="shared" si="8"/>
        <v>1.3095770040586718</v>
      </c>
      <c r="S63" s="2">
        <f t="shared" si="9"/>
        <v>1.3147927843982785</v>
      </c>
      <c r="T63" s="2">
        <f t="shared" si="10"/>
        <v>0.4997927843982754</v>
      </c>
    </row>
    <row r="64" spans="1:20" x14ac:dyDescent="0.25">
      <c r="A64" s="1">
        <f t="shared" si="11"/>
        <v>2049</v>
      </c>
      <c r="B64" s="1">
        <f t="shared" si="12"/>
        <v>0.33</v>
      </c>
      <c r="C64" s="1">
        <f t="shared" si="19"/>
        <v>0.2</v>
      </c>
      <c r="D64" s="1">
        <f t="shared" si="13"/>
        <v>0.01</v>
      </c>
      <c r="E64" s="1">
        <f t="shared" si="14"/>
        <v>0.05</v>
      </c>
      <c r="F64" s="1">
        <f t="shared" si="15"/>
        <v>1.2500000000000001E-2</v>
      </c>
      <c r="G64" s="2">
        <f t="shared" si="16"/>
        <v>18.485562474743624</v>
      </c>
      <c r="H64" s="2">
        <f t="shared" si="17"/>
        <v>2.2875926040661394</v>
      </c>
      <c r="I64" s="2">
        <f t="shared" si="18"/>
        <v>1.8039884153978456</v>
      </c>
      <c r="J64" s="2">
        <f t="shared" si="20"/>
        <v>6.7688533937390076</v>
      </c>
      <c r="K64" s="2">
        <f t="shared" si="21"/>
        <v>3.7521601225173207</v>
      </c>
      <c r="L64" s="2">
        <f t="shared" si="22"/>
        <v>4.4794040841017368</v>
      </c>
      <c r="M64" s="2">
        <f t="shared" si="23"/>
        <v>2.3233945712900314E-2</v>
      </c>
      <c r="N64" s="2">
        <f t="shared" si="4"/>
        <v>2.2499999999999999E-2</v>
      </c>
      <c r="O64" s="2">
        <f t="shared" si="24"/>
        <v>1.2742202085257105E-2</v>
      </c>
      <c r="P64" s="2">
        <f t="shared" si="6"/>
        <v>4.5472542491700629</v>
      </c>
      <c r="Q64" s="2">
        <f t="shared" si="7"/>
        <v>3.7708211310885393</v>
      </c>
      <c r="R64" s="2">
        <f t="shared" si="8"/>
        <v>1.3223317068104701</v>
      </c>
      <c r="S64" s="2">
        <f t="shared" si="9"/>
        <v>1.3272927843982787</v>
      </c>
      <c r="T64" s="2">
        <f t="shared" si="10"/>
        <v>0.4997927843982754</v>
      </c>
    </row>
    <row r="65" spans="1:20" x14ac:dyDescent="0.25">
      <c r="A65" s="1">
        <f t="shared" si="11"/>
        <v>2050</v>
      </c>
      <c r="B65" s="1">
        <f t="shared" si="12"/>
        <v>0.33</v>
      </c>
      <c r="C65" s="1">
        <f t="shared" si="19"/>
        <v>0.2</v>
      </c>
      <c r="D65" s="1">
        <f t="shared" si="13"/>
        <v>0.01</v>
      </c>
      <c r="E65" s="1">
        <f t="shared" si="14"/>
        <v>0.05</v>
      </c>
      <c r="F65" s="1">
        <f t="shared" si="15"/>
        <v>1.2500000000000001E-2</v>
      </c>
      <c r="G65" s="2">
        <f t="shared" si="16"/>
        <v>18.920083299777154</v>
      </c>
      <c r="H65" s="2">
        <f t="shared" si="17"/>
        <v>2.316366976781099</v>
      </c>
      <c r="I65" s="2">
        <f t="shared" si="18"/>
        <v>1.8221188003904973</v>
      </c>
      <c r="J65" s="2">
        <f t="shared" si="20"/>
        <v>6.9245558227401798</v>
      </c>
      <c r="K65" s="2">
        <f t="shared" si="21"/>
        <v>3.8002768103024795</v>
      </c>
      <c r="L65" s="2">
        <f t="shared" si="22"/>
        <v>4.4826929302952578</v>
      </c>
      <c r="M65" s="2">
        <f t="shared" si="23"/>
        <v>2.3197942239733607E-2</v>
      </c>
      <c r="N65" s="2">
        <f t="shared" si="4"/>
        <v>2.2499999999999999E-2</v>
      </c>
      <c r="O65" s="2">
        <f t="shared" si="24"/>
        <v>1.273032093911209E-2</v>
      </c>
      <c r="P65" s="2">
        <f t="shared" si="6"/>
        <v>4.5472542491700629</v>
      </c>
      <c r="Q65" s="2">
        <f t="shared" si="7"/>
        <v>3.8182522219543364</v>
      </c>
      <c r="R65" s="2">
        <f t="shared" si="8"/>
        <v>1.3350739088957273</v>
      </c>
      <c r="S65" s="2">
        <f t="shared" si="9"/>
        <v>1.3397927843982786</v>
      </c>
      <c r="T65" s="2">
        <f t="shared" si="10"/>
        <v>0.4997927843982754</v>
      </c>
    </row>
    <row r="66" spans="1:20" x14ac:dyDescent="0.25">
      <c r="A66" s="1">
        <f t="shared" si="11"/>
        <v>2051</v>
      </c>
      <c r="B66" s="1">
        <f t="shared" si="12"/>
        <v>0.33</v>
      </c>
      <c r="C66" s="1">
        <f t="shared" si="19"/>
        <v>0.2</v>
      </c>
      <c r="D66" s="1">
        <f t="shared" si="13"/>
        <v>0.01</v>
      </c>
      <c r="E66" s="1">
        <f t="shared" si="14"/>
        <v>0.05</v>
      </c>
      <c r="F66" s="1">
        <f t="shared" si="15"/>
        <v>1.2500000000000001E-2</v>
      </c>
      <c r="G66" s="2">
        <f t="shared" si="16"/>
        <v>19.364120764213567</v>
      </c>
      <c r="H66" s="2">
        <f t="shared" si="17"/>
        <v>2.3455032865488659</v>
      </c>
      <c r="I66" s="2">
        <f t="shared" si="18"/>
        <v>1.8404313987816254</v>
      </c>
      <c r="J66" s="2">
        <f t="shared" si="20"/>
        <v>7.0837556764459118</v>
      </c>
      <c r="K66" s="2">
        <f t="shared" si="21"/>
        <v>3.8489648031083323</v>
      </c>
      <c r="L66" s="2">
        <f t="shared" si="22"/>
        <v>4.4858226831053623</v>
      </c>
      <c r="M66" s="2">
        <f t="shared" si="23"/>
        <v>2.3163721324618622E-2</v>
      </c>
      <c r="N66" s="2">
        <f t="shared" si="4"/>
        <v>2.2499999999999999E-2</v>
      </c>
      <c r="O66" s="2">
        <f t="shared" si="24"/>
        <v>1.2719028037124146E-2</v>
      </c>
      <c r="P66" s="2">
        <f t="shared" si="6"/>
        <v>4.5472542491700629</v>
      </c>
      <c r="Q66" s="2">
        <f t="shared" si="7"/>
        <v>3.8662799224981086</v>
      </c>
      <c r="R66" s="2">
        <f t="shared" si="8"/>
        <v>1.3478042298348394</v>
      </c>
      <c r="S66" s="2">
        <f t="shared" si="9"/>
        <v>1.3522927843982786</v>
      </c>
      <c r="T66" s="2">
        <f t="shared" si="10"/>
        <v>0.4997927843982754</v>
      </c>
    </row>
    <row r="67" spans="1:20" x14ac:dyDescent="0.25">
      <c r="A67" s="1">
        <f t="shared" si="11"/>
        <v>2052</v>
      </c>
      <c r="B67" s="1">
        <f t="shared" si="12"/>
        <v>0.33</v>
      </c>
      <c r="C67" s="1">
        <f t="shared" si="19"/>
        <v>0.2</v>
      </c>
      <c r="D67" s="1">
        <f t="shared" si="13"/>
        <v>0.01</v>
      </c>
      <c r="E67" s="1">
        <f t="shared" si="14"/>
        <v>0.05</v>
      </c>
      <c r="F67" s="1">
        <f t="shared" si="15"/>
        <v>1.2500000000000001E-2</v>
      </c>
      <c r="G67" s="2">
        <f t="shared" si="16"/>
        <v>19.817901193214073</v>
      </c>
      <c r="H67" s="2">
        <f t="shared" si="17"/>
        <v>2.3750060859771196</v>
      </c>
      <c r="I67" s="2">
        <f t="shared" si="18"/>
        <v>1.8589280418463296</v>
      </c>
      <c r="J67" s="2">
        <f t="shared" si="20"/>
        <v>7.2465337991426937</v>
      </c>
      <c r="K67" s="2">
        <f t="shared" si="21"/>
        <v>3.8982325490906424</v>
      </c>
      <c r="L67" s="2">
        <f t="shared" si="22"/>
        <v>4.4888010075579858</v>
      </c>
      <c r="M67" s="2">
        <f t="shared" si="23"/>
        <v>2.3131193141925771E-2</v>
      </c>
      <c r="N67" s="2">
        <f t="shared" si="4"/>
        <v>2.2499999999999999E-2</v>
      </c>
      <c r="O67" s="2">
        <f t="shared" si="24"/>
        <v>1.2708293736835505E-2</v>
      </c>
      <c r="P67" s="2">
        <f t="shared" si="6"/>
        <v>4.5472542491700629</v>
      </c>
      <c r="Q67" s="2">
        <f t="shared" si="7"/>
        <v>3.9149117371457791</v>
      </c>
      <c r="R67" s="2">
        <f t="shared" si="8"/>
        <v>1.3605232578719637</v>
      </c>
      <c r="S67" s="2">
        <f t="shared" si="9"/>
        <v>1.3647927843982786</v>
      </c>
      <c r="T67" s="2">
        <f t="shared" si="10"/>
        <v>0.4997927843982754</v>
      </c>
    </row>
    <row r="68" spans="1:20" x14ac:dyDescent="0.25">
      <c r="A68" s="1">
        <f t="shared" si="11"/>
        <v>2053</v>
      </c>
      <c r="B68" s="1">
        <f t="shared" si="12"/>
        <v>0.33</v>
      </c>
      <c r="C68" s="1">
        <f t="shared" si="19"/>
        <v>0.2</v>
      </c>
      <c r="D68" s="1">
        <f t="shared" si="13"/>
        <v>0.01</v>
      </c>
      <c r="E68" s="1">
        <f t="shared" si="14"/>
        <v>0.05</v>
      </c>
      <c r="F68" s="1">
        <f t="shared" si="15"/>
        <v>1.2500000000000001E-2</v>
      </c>
      <c r="G68" s="2">
        <f t="shared" si="16"/>
        <v>20.281655814685973</v>
      </c>
      <c r="H68" s="2">
        <f t="shared" si="17"/>
        <v>2.4048799849382947</v>
      </c>
      <c r="I68" s="2">
        <f t="shared" si="18"/>
        <v>1.8776105792643305</v>
      </c>
      <c r="J68" s="2">
        <f t="shared" si="20"/>
        <v>7.4129728383300586</v>
      </c>
      <c r="K68" s="2">
        <f t="shared" si="21"/>
        <v>3.9480885547814428</v>
      </c>
      <c r="L68" s="2">
        <f t="shared" si="22"/>
        <v>4.4916352023374841</v>
      </c>
      <c r="M68" s="2">
        <f t="shared" si="23"/>
        <v>2.3100272542464856E-2</v>
      </c>
      <c r="N68" s="2">
        <f t="shared" si="4"/>
        <v>2.2499999999999999E-2</v>
      </c>
      <c r="O68" s="2">
        <f t="shared" si="24"/>
        <v>1.2698089939013403E-2</v>
      </c>
      <c r="P68" s="2">
        <f t="shared" si="6"/>
        <v>4.5472542491700629</v>
      </c>
      <c r="Q68" s="2">
        <f t="shared" si="7"/>
        <v>3.9641552647173284</v>
      </c>
      <c r="R68" s="2">
        <f t="shared" si="8"/>
        <v>1.3732315516087992</v>
      </c>
      <c r="S68" s="2">
        <f t="shared" si="9"/>
        <v>1.3772927843982787</v>
      </c>
      <c r="T68" s="2">
        <f t="shared" si="10"/>
        <v>0.4997927843982754</v>
      </c>
    </row>
    <row r="69" spans="1:20" x14ac:dyDescent="0.25">
      <c r="A69" s="1">
        <f t="shared" si="11"/>
        <v>2054</v>
      </c>
      <c r="B69" s="1">
        <f t="shared" si="12"/>
        <v>0.33</v>
      </c>
      <c r="C69" s="1">
        <f t="shared" si="19"/>
        <v>0.2</v>
      </c>
      <c r="D69" s="1">
        <f t="shared" si="13"/>
        <v>0.01</v>
      </c>
      <c r="E69" s="1">
        <f t="shared" si="14"/>
        <v>0.05</v>
      </c>
      <c r="F69" s="1">
        <f t="shared" si="15"/>
        <v>1.2500000000000001E-2</v>
      </c>
      <c r="G69" s="2">
        <f t="shared" si="16"/>
        <v>20.755620876316058</v>
      </c>
      <c r="H69" s="2">
        <f t="shared" si="17"/>
        <v>2.4351296512898828</v>
      </c>
      <c r="I69" s="2">
        <f t="shared" si="18"/>
        <v>1.8964808793049384</v>
      </c>
      <c r="J69" s="2">
        <f t="shared" ref="J69:J100" si="25">G69^B69*(H69*I69)^(1-B69)</f>
        <v>7.5831572869205681</v>
      </c>
      <c r="K69" s="2">
        <f t="shared" ref="K69:K100" si="26">J69/I69</f>
        <v>3.9985413877200813</v>
      </c>
      <c r="L69" s="2">
        <f t="shared" ref="L69:L104" si="27">G69/(H69*I69)</f>
        <v>4.4943322170111601</v>
      </c>
      <c r="M69" s="2">
        <f t="shared" ref="M69:M100" si="28">C69*(1/L69)^(1-B69)-E69</f>
        <v>2.3070878795763722E-2</v>
      </c>
      <c r="N69" s="2">
        <f t="shared" si="4"/>
        <v>2.2499999999999999E-2</v>
      </c>
      <c r="O69" s="2">
        <f t="shared" ref="O69:O100" si="29">B69*(M69-F69-D69)+F69</f>
        <v>1.2688390002602029E-2</v>
      </c>
      <c r="P69" s="2">
        <f t="shared" si="6"/>
        <v>4.5472542491700629</v>
      </c>
      <c r="Q69" s="2">
        <f t="shared" si="7"/>
        <v>4.0140181996141262</v>
      </c>
      <c r="R69" s="2">
        <f t="shared" si="8"/>
        <v>1.3859296415478128</v>
      </c>
      <c r="S69" s="2">
        <f t="shared" si="9"/>
        <v>1.3897927843982789</v>
      </c>
      <c r="T69" s="2">
        <f t="shared" si="10"/>
        <v>0.4997927843982754</v>
      </c>
    </row>
    <row r="70" spans="1:20" x14ac:dyDescent="0.25">
      <c r="A70" s="1">
        <f t="shared" si="11"/>
        <v>2055</v>
      </c>
      <c r="B70" s="1">
        <f t="shared" si="12"/>
        <v>0.33</v>
      </c>
      <c r="C70" s="1">
        <f t="shared" si="19"/>
        <v>0.2</v>
      </c>
      <c r="D70" s="1">
        <f t="shared" si="13"/>
        <v>0.01</v>
      </c>
      <c r="E70" s="1">
        <f t="shared" si="14"/>
        <v>0.05</v>
      </c>
      <c r="F70" s="1">
        <f t="shared" si="15"/>
        <v>1.2500000000000001E-2</v>
      </c>
      <c r="G70" s="2">
        <f t="shared" si="16"/>
        <v>21.24003776520906</v>
      </c>
      <c r="H70" s="2">
        <f t="shared" si="17"/>
        <v>2.4657598116037946</v>
      </c>
      <c r="I70" s="2">
        <f t="shared" si="18"/>
        <v>1.9155408290138827</v>
      </c>
      <c r="J70" s="2">
        <f t="shared" si="25"/>
        <v>7.7571735263541486</v>
      </c>
      <c r="K70" s="2">
        <f t="shared" si="26"/>
        <v>4.0495996790355697</v>
      </c>
      <c r="L70" s="2">
        <f t="shared" si="27"/>
        <v>4.4968986684716281</v>
      </c>
      <c r="M70" s="2">
        <f t="shared" si="28"/>
        <v>2.3042935347886359E-2</v>
      </c>
      <c r="N70" s="2">
        <f t="shared" ref="N70:N104" si="30">F70+D70</f>
        <v>2.2499999999999999E-2</v>
      </c>
      <c r="O70" s="2">
        <f t="shared" si="29"/>
        <v>1.2679168664802499E-2</v>
      </c>
      <c r="P70" s="2">
        <f t="shared" ref="P70:P104" si="31">(C70/(D70+E70+F70))^(1/(1-B70))</f>
        <v>4.5472542491700629</v>
      </c>
      <c r="Q70" s="2">
        <f t="shared" ref="Q70:Q104" si="32">P70^B70*H70</f>
        <v>4.0645083330211973</v>
      </c>
      <c r="R70" s="2">
        <f t="shared" ref="R70:R104" si="33">LN(K70)</f>
        <v>1.3986180315504149</v>
      </c>
      <c r="S70" s="2">
        <f t="shared" ref="S70:S104" si="34">LN(Q70)</f>
        <v>1.4022927843982789</v>
      </c>
      <c r="T70" s="2">
        <f t="shared" ref="T70:T104" si="35">B70*LN(P70)</f>
        <v>0.4997927843982754</v>
      </c>
    </row>
    <row r="71" spans="1:20" x14ac:dyDescent="0.25">
      <c r="A71" s="1">
        <f t="shared" ref="A71:A104" si="36">A70+1</f>
        <v>2056</v>
      </c>
      <c r="B71" s="1">
        <f t="shared" ref="B71:B104" si="37">B70</f>
        <v>0.33</v>
      </c>
      <c r="C71" s="1">
        <f t="shared" ref="C71:C104" si="38">C70</f>
        <v>0.2</v>
      </c>
      <c r="D71" s="1">
        <f t="shared" ref="D71:D104" si="39">D70</f>
        <v>0.01</v>
      </c>
      <c r="E71" s="1">
        <f t="shared" ref="E71:E104" si="40">E70</f>
        <v>0.05</v>
      </c>
      <c r="F71" s="1">
        <f t="shared" ref="F71:F104" si="41">F70</f>
        <v>1.2500000000000001E-2</v>
      </c>
      <c r="G71" s="2">
        <f t="shared" ref="G71:G104" si="42">G70*EXP(M70)</f>
        <v>21.735153130185211</v>
      </c>
      <c r="H71" s="2">
        <f t="shared" ref="H71:H104" si="43">H70*EXP(F71)</f>
        <v>2.4967752519048969</v>
      </c>
      <c r="I71" s="2">
        <f t="shared" ref="I71:I104" si="44">I70*EXP(D71)</f>
        <v>1.9347923344020177</v>
      </c>
      <c r="J71" s="2">
        <f t="shared" si="25"/>
        <v>7.9351098706499545</v>
      </c>
      <c r="K71" s="2">
        <f t="shared" si="26"/>
        <v>4.101272125983713</v>
      </c>
      <c r="L71" s="2">
        <f t="shared" si="27"/>
        <v>4.4993408566297504</v>
      </c>
      <c r="M71" s="2">
        <f t="shared" si="28"/>
        <v>2.3016369593733238E-2</v>
      </c>
      <c r="N71" s="2">
        <f t="shared" si="30"/>
        <v>2.2499999999999999E-2</v>
      </c>
      <c r="O71" s="2">
        <f t="shared" si="29"/>
        <v>1.2670401965931969E-2</v>
      </c>
      <c r="P71" s="2">
        <f t="shared" si="31"/>
        <v>4.5472542491700629</v>
      </c>
      <c r="Q71" s="2">
        <f t="shared" si="32"/>
        <v>4.1156335541246092</v>
      </c>
      <c r="R71" s="2">
        <f t="shared" si="33"/>
        <v>1.4112972002152173</v>
      </c>
      <c r="S71" s="2">
        <f t="shared" si="34"/>
        <v>1.4147927843982788</v>
      </c>
      <c r="T71" s="2">
        <f t="shared" si="35"/>
        <v>0.4997927843982754</v>
      </c>
    </row>
    <row r="72" spans="1:20" x14ac:dyDescent="0.25">
      <c r="A72" s="1">
        <f t="shared" si="36"/>
        <v>2057</v>
      </c>
      <c r="B72" s="1">
        <f t="shared" si="37"/>
        <v>0.33</v>
      </c>
      <c r="C72" s="1">
        <f t="shared" si="38"/>
        <v>0.2</v>
      </c>
      <c r="D72" s="1">
        <f t="shared" si="39"/>
        <v>0.01</v>
      </c>
      <c r="E72" s="1">
        <f t="shared" si="40"/>
        <v>0.05</v>
      </c>
      <c r="F72" s="1">
        <f t="shared" si="41"/>
        <v>1.2500000000000001E-2</v>
      </c>
      <c r="G72" s="2">
        <f t="shared" si="42"/>
        <v>22.241219006792864</v>
      </c>
      <c r="H72" s="2">
        <f t="shared" si="43"/>
        <v>2.5281808184188379</v>
      </c>
      <c r="I72" s="2">
        <f t="shared" si="44"/>
        <v>1.9542373206359254</v>
      </c>
      <c r="J72" s="2">
        <f t="shared" si="25"/>
        <v>8.1170566114192901</v>
      </c>
      <c r="K72" s="2">
        <f t="shared" si="26"/>
        <v>4.1535674944422469</v>
      </c>
      <c r="L72" s="2">
        <f t="shared" si="27"/>
        <v>4.501664779389845</v>
      </c>
      <c r="M72" s="2">
        <f t="shared" si="28"/>
        <v>2.2991112662846383E-2</v>
      </c>
      <c r="N72" s="2">
        <f t="shared" si="30"/>
        <v>2.2499999999999999E-2</v>
      </c>
      <c r="O72" s="2">
        <f t="shared" si="29"/>
        <v>1.2662067178739307E-2</v>
      </c>
      <c r="P72" s="2">
        <f t="shared" si="31"/>
        <v>4.5472542491700629</v>
      </c>
      <c r="Q72" s="2">
        <f t="shared" si="32"/>
        <v>4.1674018513441746</v>
      </c>
      <c r="R72" s="2">
        <f t="shared" si="33"/>
        <v>1.4239676021811496</v>
      </c>
      <c r="S72" s="2">
        <f t="shared" si="34"/>
        <v>1.427292784398279</v>
      </c>
      <c r="T72" s="2">
        <f t="shared" si="35"/>
        <v>0.4997927843982754</v>
      </c>
    </row>
    <row r="73" spans="1:20" x14ac:dyDescent="0.25">
      <c r="A73" s="1">
        <f t="shared" si="36"/>
        <v>2058</v>
      </c>
      <c r="B73" s="1">
        <f t="shared" si="37"/>
        <v>0.33</v>
      </c>
      <c r="C73" s="1">
        <f t="shared" si="38"/>
        <v>0.2</v>
      </c>
      <c r="D73" s="1">
        <f t="shared" si="39"/>
        <v>0.01</v>
      </c>
      <c r="E73" s="1">
        <f t="shared" si="40"/>
        <v>0.05</v>
      </c>
      <c r="F73" s="1">
        <f t="shared" si="41"/>
        <v>1.2500000000000001E-2</v>
      </c>
      <c r="G73" s="2">
        <f t="shared" si="42"/>
        <v>22.758492945094034</v>
      </c>
      <c r="H73" s="2">
        <f t="shared" si="43"/>
        <v>2.5599814183292806</v>
      </c>
      <c r="I73" s="2">
        <f t="shared" si="44"/>
        <v>1.9738777322304331</v>
      </c>
      <c r="J73" s="2">
        <f t="shared" si="25"/>
        <v>8.3031060638635719</v>
      </c>
      <c r="K73" s="2">
        <f t="shared" si="26"/>
        <v>4.2064946213670833</v>
      </c>
      <c r="L73" s="2">
        <f t="shared" si="27"/>
        <v>4.5038761469377491</v>
      </c>
      <c r="M73" s="2">
        <f t="shared" si="28"/>
        <v>2.2967099217819212E-2</v>
      </c>
      <c r="N73" s="2">
        <f t="shared" si="30"/>
        <v>2.2499999999999999E-2</v>
      </c>
      <c r="O73" s="2">
        <f t="shared" si="29"/>
        <v>1.265414274188034E-2</v>
      </c>
      <c r="P73" s="2">
        <f t="shared" si="31"/>
        <v>4.5472542491700629</v>
      </c>
      <c r="Q73" s="2">
        <f t="shared" si="32"/>
        <v>4.2198213135816571</v>
      </c>
      <c r="R73" s="2">
        <f t="shared" si="33"/>
        <v>1.4366296693598888</v>
      </c>
      <c r="S73" s="2">
        <f t="shared" si="34"/>
        <v>1.439792784398279</v>
      </c>
      <c r="T73" s="2">
        <f t="shared" si="35"/>
        <v>0.4997927843982754</v>
      </c>
    </row>
    <row r="74" spans="1:20" x14ac:dyDescent="0.25">
      <c r="A74" s="1">
        <f t="shared" si="36"/>
        <v>2059</v>
      </c>
      <c r="B74" s="1">
        <f t="shared" si="37"/>
        <v>0.33</v>
      </c>
      <c r="C74" s="1">
        <f t="shared" si="38"/>
        <v>0.2</v>
      </c>
      <c r="D74" s="1">
        <f t="shared" si="39"/>
        <v>0.01</v>
      </c>
      <c r="E74" s="1">
        <f t="shared" si="40"/>
        <v>0.05</v>
      </c>
      <c r="F74" s="1">
        <f t="shared" si="41"/>
        <v>1.2500000000000001E-2</v>
      </c>
      <c r="G74" s="2">
        <f t="shared" si="42"/>
        <v>23.287238140282582</v>
      </c>
      <c r="H74" s="2">
        <f t="shared" si="43"/>
        <v>2.59218202054466</v>
      </c>
      <c r="I74" s="2">
        <f t="shared" si="44"/>
        <v>1.9937155332430674</v>
      </c>
      <c r="J74" s="2">
        <f t="shared" si="25"/>
        <v>8.4933526137816688</v>
      </c>
      <c r="K74" s="2">
        <f t="shared" si="26"/>
        <v>4.2600624172125494</v>
      </c>
      <c r="L74" s="2">
        <f t="shared" si="27"/>
        <v>4.505980395371278</v>
      </c>
      <c r="M74" s="2">
        <f t="shared" si="28"/>
        <v>2.2944267264478693E-2</v>
      </c>
      <c r="N74" s="2">
        <f t="shared" si="30"/>
        <v>2.2499999999999999E-2</v>
      </c>
      <c r="O74" s="2">
        <f t="shared" si="29"/>
        <v>1.2646608197277968E-2</v>
      </c>
      <c r="P74" s="2">
        <f t="shared" si="31"/>
        <v>4.5472542491700629</v>
      </c>
      <c r="Q74" s="2">
        <f t="shared" si="32"/>
        <v>4.2729001314846808</v>
      </c>
      <c r="R74" s="2">
        <f t="shared" si="33"/>
        <v>1.449283812101769</v>
      </c>
      <c r="S74" s="2">
        <f t="shared" si="34"/>
        <v>1.4522927843982791</v>
      </c>
      <c r="T74" s="2">
        <f t="shared" si="35"/>
        <v>0.4997927843982754</v>
      </c>
    </row>
    <row r="75" spans="1:20" x14ac:dyDescent="0.25">
      <c r="A75" s="1">
        <f t="shared" si="36"/>
        <v>2060</v>
      </c>
      <c r="B75" s="1">
        <f t="shared" si="37"/>
        <v>0.33</v>
      </c>
      <c r="C75" s="1">
        <f t="shared" si="38"/>
        <v>0.2</v>
      </c>
      <c r="D75" s="1">
        <f t="shared" si="39"/>
        <v>0.01</v>
      </c>
      <c r="E75" s="1">
        <f t="shared" si="40"/>
        <v>0.05</v>
      </c>
      <c r="F75" s="1">
        <f t="shared" si="41"/>
        <v>1.2500000000000001E-2</v>
      </c>
      <c r="G75" s="2">
        <f t="shared" si="42"/>
        <v>23.827723566196564</v>
      </c>
      <c r="H75" s="2">
        <f t="shared" si="43"/>
        <v>2.6247876564745849</v>
      </c>
      <c r="I75" s="2">
        <f t="shared" si="44"/>
        <v>2.0137527074704611</v>
      </c>
      <c r="J75" s="2">
        <f t="shared" si="25"/>
        <v>8.6878927656114033</v>
      </c>
      <c r="K75" s="2">
        <f t="shared" si="26"/>
        <v>4.3142798683183612</v>
      </c>
      <c r="L75" s="2">
        <f t="shared" si="27"/>
        <v>4.5079826997015253</v>
      </c>
      <c r="M75" s="2">
        <f t="shared" si="28"/>
        <v>2.2922557973071106E-2</v>
      </c>
      <c r="N75" s="2">
        <f t="shared" si="30"/>
        <v>2.2499999999999999E-2</v>
      </c>
      <c r="O75" s="2">
        <f t="shared" si="29"/>
        <v>1.2639444131113465E-2</v>
      </c>
      <c r="P75" s="2">
        <f t="shared" si="31"/>
        <v>4.5472542491700629</v>
      </c>
      <c r="Q75" s="2">
        <f t="shared" si="32"/>
        <v>4.3266465987265308</v>
      </c>
      <c r="R75" s="2">
        <f t="shared" si="33"/>
        <v>1.4619304202990471</v>
      </c>
      <c r="S75" s="2">
        <f t="shared" si="34"/>
        <v>1.4647927843982791</v>
      </c>
      <c r="T75" s="2">
        <f t="shared" si="35"/>
        <v>0.4997927843982754</v>
      </c>
    </row>
    <row r="76" spans="1:20" x14ac:dyDescent="0.25">
      <c r="A76" s="1">
        <f t="shared" si="36"/>
        <v>2061</v>
      </c>
      <c r="B76" s="1">
        <f t="shared" si="37"/>
        <v>0.33</v>
      </c>
      <c r="C76" s="1">
        <f t="shared" si="38"/>
        <v>0.2</v>
      </c>
      <c r="D76" s="1">
        <f t="shared" si="39"/>
        <v>0.01</v>
      </c>
      <c r="E76" s="1">
        <f t="shared" si="40"/>
        <v>0.05</v>
      </c>
      <c r="F76" s="1">
        <f t="shared" si="41"/>
        <v>1.2500000000000001E-2</v>
      </c>
      <c r="G76" s="2">
        <f t="shared" si="42"/>
        <v>24.380224111788191</v>
      </c>
      <c r="H76" s="2">
        <f t="shared" si="43"/>
        <v>2.657803420816006</v>
      </c>
      <c r="I76" s="2">
        <f t="shared" si="44"/>
        <v>2.033991258646735</v>
      </c>
      <c r="J76" s="2">
        <f t="shared" si="25"/>
        <v>8.8868251915304697</v>
      </c>
      <c r="K76" s="2">
        <f t="shared" si="26"/>
        <v>4.3691560392659188</v>
      </c>
      <c r="L76" s="2">
        <f t="shared" si="27"/>
        <v>4.5098879862524113</v>
      </c>
      <c r="M76" s="2">
        <f t="shared" si="28"/>
        <v>2.2901915509739412E-2</v>
      </c>
      <c r="N76" s="2">
        <f t="shared" si="30"/>
        <v>2.2499999999999999E-2</v>
      </c>
      <c r="O76" s="2">
        <f t="shared" si="29"/>
        <v>1.2632632118214006E-2</v>
      </c>
      <c r="P76" s="2">
        <f t="shared" si="31"/>
        <v>4.5472542491700629</v>
      </c>
      <c r="Q76" s="2">
        <f t="shared" si="32"/>
        <v>4.3810691133020638</v>
      </c>
      <c r="R76" s="2">
        <f t="shared" si="33"/>
        <v>1.4745698644301608</v>
      </c>
      <c r="S76" s="2">
        <f t="shared" si="34"/>
        <v>1.4772927843982793</v>
      </c>
      <c r="T76" s="2">
        <f t="shared" si="35"/>
        <v>0.4997927843982754</v>
      </c>
    </row>
    <row r="77" spans="1:20" x14ac:dyDescent="0.25">
      <c r="A77" s="1">
        <f t="shared" si="36"/>
        <v>2062</v>
      </c>
      <c r="B77" s="1">
        <f t="shared" si="37"/>
        <v>0.33</v>
      </c>
      <c r="C77" s="1">
        <f t="shared" si="38"/>
        <v>0.2</v>
      </c>
      <c r="D77" s="1">
        <f t="shared" si="39"/>
        <v>0.01</v>
      </c>
      <c r="E77" s="1">
        <f t="shared" si="40"/>
        <v>0.05</v>
      </c>
      <c r="F77" s="1">
        <f t="shared" si="41"/>
        <v>1.2500000000000001E-2</v>
      </c>
      <c r="G77" s="2">
        <f t="shared" si="42"/>
        <v>24.945020720616668</v>
      </c>
      <c r="H77" s="2">
        <f t="shared" si="43"/>
        <v>2.6912344723492723</v>
      </c>
      <c r="I77" s="2">
        <f t="shared" si="44"/>
        <v>2.0544332106438716</v>
      </c>
      <c r="J77" s="2">
        <f t="shared" si="25"/>
        <v>9.0902507816424354</v>
      </c>
      <c r="K77" s="2">
        <f t="shared" si="26"/>
        <v>4.4247000752063856</v>
      </c>
      <c r="L77" s="2">
        <f t="shared" si="27"/>
        <v>4.5117009444848861</v>
      </c>
      <c r="M77" s="2">
        <f t="shared" si="28"/>
        <v>2.2882286877633135E-2</v>
      </c>
      <c r="N77" s="2">
        <f t="shared" si="30"/>
        <v>2.2499999999999999E-2</v>
      </c>
      <c r="O77" s="2">
        <f t="shared" si="29"/>
        <v>1.2626154669618935E-2</v>
      </c>
      <c r="P77" s="2">
        <f t="shared" si="31"/>
        <v>4.5472542491700629</v>
      </c>
      <c r="Q77" s="2">
        <f t="shared" si="32"/>
        <v>4.4361761788399035</v>
      </c>
      <c r="R77" s="2">
        <f t="shared" si="33"/>
        <v>1.4872024965483748</v>
      </c>
      <c r="S77" s="2">
        <f t="shared" si="34"/>
        <v>1.4897927843982792</v>
      </c>
      <c r="T77" s="2">
        <f t="shared" si="35"/>
        <v>0.4997927843982754</v>
      </c>
    </row>
    <row r="78" spans="1:20" x14ac:dyDescent="0.25">
      <c r="A78" s="1">
        <f t="shared" si="36"/>
        <v>2063</v>
      </c>
      <c r="B78" s="1">
        <f t="shared" si="37"/>
        <v>0.33</v>
      </c>
      <c r="C78" s="1">
        <f t="shared" si="38"/>
        <v>0.2</v>
      </c>
      <c r="D78" s="1">
        <f t="shared" si="39"/>
        <v>0.01</v>
      </c>
      <c r="E78" s="1">
        <f t="shared" si="40"/>
        <v>0.05</v>
      </c>
      <c r="F78" s="1">
        <f t="shared" si="41"/>
        <v>1.2500000000000001E-2</v>
      </c>
      <c r="G78" s="2">
        <f t="shared" si="42"/>
        <v>25.522400533430996</v>
      </c>
      <c r="H78" s="2">
        <f t="shared" si="43"/>
        <v>2.7250860347442023</v>
      </c>
      <c r="I78" s="2">
        <f t="shared" si="44"/>
        <v>2.075080607674106</v>
      </c>
      <c r="J78" s="2">
        <f t="shared" si="25"/>
        <v>9.2982726952740915</v>
      </c>
      <c r="K78" s="2">
        <f t="shared" si="26"/>
        <v>4.4809212041628781</v>
      </c>
      <c r="L78" s="2">
        <f t="shared" si="27"/>
        <v>4.5134260382711178</v>
      </c>
      <c r="M78" s="2">
        <f t="shared" si="28"/>
        <v>2.2863621767040099E-2</v>
      </c>
      <c r="N78" s="2">
        <f t="shared" si="30"/>
        <v>2.2499999999999999E-2</v>
      </c>
      <c r="O78" s="2">
        <f t="shared" si="29"/>
        <v>1.2619995183123234E-2</v>
      </c>
      <c r="P78" s="2">
        <f t="shared" si="31"/>
        <v>4.5472542491700629</v>
      </c>
      <c r="Q78" s="2">
        <f t="shared" si="32"/>
        <v>4.4919764059311582</v>
      </c>
      <c r="R78" s="2">
        <f t="shared" si="33"/>
        <v>1.4998286512179939</v>
      </c>
      <c r="S78" s="2">
        <f t="shared" si="34"/>
        <v>1.5022927843982792</v>
      </c>
      <c r="T78" s="2">
        <f t="shared" si="35"/>
        <v>0.4997927843982754</v>
      </c>
    </row>
    <row r="79" spans="1:20" x14ac:dyDescent="0.25">
      <c r="A79" s="1">
        <f t="shared" si="36"/>
        <v>2064</v>
      </c>
      <c r="B79" s="1">
        <f t="shared" si="37"/>
        <v>0.33</v>
      </c>
      <c r="C79" s="1">
        <f t="shared" si="38"/>
        <v>0.2</v>
      </c>
      <c r="D79" s="1">
        <f t="shared" si="39"/>
        <v>0.01</v>
      </c>
      <c r="E79" s="1">
        <f t="shared" si="40"/>
        <v>0.05</v>
      </c>
      <c r="F79" s="1">
        <f t="shared" si="41"/>
        <v>1.2500000000000001E-2</v>
      </c>
      <c r="G79" s="2">
        <f t="shared" si="42"/>
        <v>26.112657033911834</v>
      </c>
      <c r="H79" s="2">
        <f t="shared" si="43"/>
        <v>2.7593633973762919</v>
      </c>
      <c r="I79" s="2">
        <f t="shared" si="44"/>
        <v>2.0959355144943475</v>
      </c>
      <c r="J79" s="2">
        <f t="shared" si="25"/>
        <v>9.5109964134107603</v>
      </c>
      <c r="K79" s="2">
        <f t="shared" si="26"/>
        <v>4.53782873930896</v>
      </c>
      <c r="L79" s="2">
        <f t="shared" si="27"/>
        <v>4.5150675166431053</v>
      </c>
      <c r="M79" s="2">
        <f t="shared" si="28"/>
        <v>2.2845872413972096E-2</v>
      </c>
      <c r="N79" s="2">
        <f t="shared" si="30"/>
        <v>2.2499999999999999E-2</v>
      </c>
      <c r="O79" s="2">
        <f t="shared" si="29"/>
        <v>1.2614137896610792E-2</v>
      </c>
      <c r="P79" s="2">
        <f t="shared" si="31"/>
        <v>4.5472542491700629</v>
      </c>
      <c r="Q79" s="2">
        <f t="shared" si="32"/>
        <v>4.5484785134748362</v>
      </c>
      <c r="R79" s="2">
        <f t="shared" si="33"/>
        <v>1.5124486464011171</v>
      </c>
      <c r="S79" s="2">
        <f t="shared" si="34"/>
        <v>1.5147927843982791</v>
      </c>
      <c r="T79" s="2">
        <f t="shared" si="35"/>
        <v>0.4997927843982754</v>
      </c>
    </row>
    <row r="80" spans="1:20" x14ac:dyDescent="0.25">
      <c r="A80" s="1">
        <f t="shared" si="36"/>
        <v>2065</v>
      </c>
      <c r="B80" s="1">
        <f t="shared" si="37"/>
        <v>0.33</v>
      </c>
      <c r="C80" s="1">
        <f t="shared" si="38"/>
        <v>0.2</v>
      </c>
      <c r="D80" s="1">
        <f t="shared" si="39"/>
        <v>0.01</v>
      </c>
      <c r="E80" s="1">
        <f t="shared" si="40"/>
        <v>0.05</v>
      </c>
      <c r="F80" s="1">
        <f t="shared" si="41"/>
        <v>1.2500000000000001E-2</v>
      </c>
      <c r="G80" s="2">
        <f t="shared" si="42"/>
        <v>26.716090197643162</v>
      </c>
      <c r="H80" s="2">
        <f t="shared" si="43"/>
        <v>2.7940719161531899</v>
      </c>
      <c r="I80" s="2">
        <f t="shared" si="44"/>
        <v>2.117000016612657</v>
      </c>
      <c r="J80" s="2">
        <f t="shared" si="25"/>
        <v>9.7285297922968503</v>
      </c>
      <c r="K80" s="2">
        <f t="shared" si="26"/>
        <v>4.5954320812255611</v>
      </c>
      <c r="L80" s="2">
        <f t="shared" si="27"/>
        <v>4.5166294240391043</v>
      </c>
      <c r="M80" s="2">
        <f t="shared" si="28"/>
        <v>2.2828993466679368E-2</v>
      </c>
      <c r="N80" s="2">
        <f t="shared" si="30"/>
        <v>2.2499999999999999E-2</v>
      </c>
      <c r="O80" s="2">
        <f t="shared" si="29"/>
        <v>1.2608567844004192E-2</v>
      </c>
      <c r="P80" s="2">
        <f t="shared" si="31"/>
        <v>4.5472542491700629</v>
      </c>
      <c r="Q80" s="2">
        <f t="shared" si="32"/>
        <v>4.6056913300401963</v>
      </c>
      <c r="R80" s="2">
        <f t="shared" si="33"/>
        <v>1.525062784297728</v>
      </c>
      <c r="S80" s="2">
        <f t="shared" si="34"/>
        <v>1.5272927843982793</v>
      </c>
      <c r="T80" s="2">
        <f t="shared" si="35"/>
        <v>0.4997927843982754</v>
      </c>
    </row>
    <row r="81" spans="1:20" x14ac:dyDescent="0.25">
      <c r="A81" s="1">
        <f t="shared" si="36"/>
        <v>2066</v>
      </c>
      <c r="B81" s="1">
        <f t="shared" si="37"/>
        <v>0.33</v>
      </c>
      <c r="C81" s="1">
        <f t="shared" si="38"/>
        <v>0.2</v>
      </c>
      <c r="D81" s="1">
        <f t="shared" si="39"/>
        <v>0.01</v>
      </c>
      <c r="E81" s="1">
        <f t="shared" si="40"/>
        <v>0.05</v>
      </c>
      <c r="F81" s="1">
        <f t="shared" si="41"/>
        <v>1.2500000000000001E-2</v>
      </c>
      <c r="G81" s="2">
        <f t="shared" si="42"/>
        <v>27.333006644386629</v>
      </c>
      <c r="H81" s="2">
        <f t="shared" si="43"/>
        <v>2.8292170143515705</v>
      </c>
      <c r="I81" s="2">
        <f t="shared" si="44"/>
        <v>2.1382762204968007</v>
      </c>
      <c r="J81" s="2">
        <f t="shared" si="25"/>
        <v>9.9509831182293826</v>
      </c>
      <c r="K81" s="2">
        <f t="shared" si="26"/>
        <v>4.6537407201382992</v>
      </c>
      <c r="L81" s="2">
        <f t="shared" si="27"/>
        <v>4.5181156100703674</v>
      </c>
      <c r="M81" s="2">
        <f t="shared" si="28"/>
        <v>2.2812941859603392E-2</v>
      </c>
      <c r="N81" s="2">
        <f t="shared" si="30"/>
        <v>2.2499999999999999E-2</v>
      </c>
      <c r="O81" s="2">
        <f t="shared" si="29"/>
        <v>1.260327081366912E-2</v>
      </c>
      <c r="P81" s="2">
        <f t="shared" si="31"/>
        <v>4.5472542491700629</v>
      </c>
      <c r="Q81" s="2">
        <f t="shared" si="32"/>
        <v>4.6636237952462274</v>
      </c>
      <c r="R81" s="2">
        <f t="shared" si="33"/>
        <v>1.5376713521417322</v>
      </c>
      <c r="S81" s="2">
        <f t="shared" si="34"/>
        <v>1.5397927843982795</v>
      </c>
      <c r="T81" s="2">
        <f t="shared" si="35"/>
        <v>0.4997927843982754</v>
      </c>
    </row>
    <row r="82" spans="1:20" x14ac:dyDescent="0.25">
      <c r="A82" s="1">
        <f t="shared" si="36"/>
        <v>2067</v>
      </c>
      <c r="B82" s="1">
        <f t="shared" si="37"/>
        <v>0.33</v>
      </c>
      <c r="C82" s="1">
        <f t="shared" si="38"/>
        <v>0.2</v>
      </c>
      <c r="D82" s="1">
        <f t="shared" si="39"/>
        <v>0.01</v>
      </c>
      <c r="E82" s="1">
        <f t="shared" si="40"/>
        <v>0.05</v>
      </c>
      <c r="F82" s="1">
        <f t="shared" si="41"/>
        <v>1.2500000000000001E-2</v>
      </c>
      <c r="G82" s="2">
        <f t="shared" si="42"/>
        <v>27.963719793733183</v>
      </c>
      <c r="H82" s="2">
        <f t="shared" si="43"/>
        <v>2.8648041834645301</v>
      </c>
      <c r="I82" s="2">
        <f t="shared" si="44"/>
        <v>2.1597662537848965</v>
      </c>
      <c r="J82" s="2">
        <f t="shared" si="25"/>
        <v>10.178469163572833</v>
      </c>
      <c r="K82" s="2">
        <f t="shared" si="26"/>
        <v>4.7127642381371171</v>
      </c>
      <c r="L82" s="2">
        <f t="shared" si="27"/>
        <v>4.5195297388297888</v>
      </c>
      <c r="M82" s="2">
        <f t="shared" si="28"/>
        <v>2.2797676694313637E-2</v>
      </c>
      <c r="N82" s="2">
        <f t="shared" si="30"/>
        <v>2.2499999999999999E-2</v>
      </c>
      <c r="O82" s="2">
        <f t="shared" si="29"/>
        <v>1.2598233309123501E-2</v>
      </c>
      <c r="P82" s="2">
        <f t="shared" si="31"/>
        <v>4.5472542491700629</v>
      </c>
      <c r="Q82" s="2">
        <f t="shared" si="32"/>
        <v>4.722284961158481</v>
      </c>
      <c r="R82" s="2">
        <f t="shared" si="33"/>
        <v>1.5502746229554016</v>
      </c>
      <c r="S82" s="2">
        <f t="shared" si="34"/>
        <v>1.5522927843982792</v>
      </c>
      <c r="T82" s="2">
        <f t="shared" si="35"/>
        <v>0.4997927843982754</v>
      </c>
    </row>
    <row r="83" spans="1:20" x14ac:dyDescent="0.25">
      <c r="A83" s="1">
        <f t="shared" si="36"/>
        <v>2068</v>
      </c>
      <c r="B83" s="1">
        <f t="shared" si="37"/>
        <v>0.33</v>
      </c>
      <c r="C83" s="1">
        <f t="shared" si="38"/>
        <v>0.2</v>
      </c>
      <c r="D83" s="1">
        <f t="shared" si="39"/>
        <v>0.01</v>
      </c>
      <c r="E83" s="1">
        <f t="shared" si="40"/>
        <v>0.05</v>
      </c>
      <c r="F83" s="1">
        <f t="shared" si="41"/>
        <v>1.2500000000000001E-2</v>
      </c>
      <c r="G83" s="2">
        <f t="shared" si="42"/>
        <v>28.608550024208608</v>
      </c>
      <c r="H83" s="2">
        <f t="shared" si="43"/>
        <v>2.9008389840596456</v>
      </c>
      <c r="I83" s="2">
        <f t="shared" si="44"/>
        <v>2.1814722654981824</v>
      </c>
      <c r="J83" s="2">
        <f t="shared" si="25"/>
        <v>10.411103244024181</v>
      </c>
      <c r="K83" s="2">
        <f t="shared" si="26"/>
        <v>4.772512311380039</v>
      </c>
      <c r="L83" s="2">
        <f t="shared" si="27"/>
        <v>4.5208752977631272</v>
      </c>
      <c r="M83" s="2">
        <f t="shared" si="28"/>
        <v>2.2783159127004252E-2</v>
      </c>
      <c r="N83" s="2">
        <f t="shared" si="30"/>
        <v>2.2499999999999999E-2</v>
      </c>
      <c r="O83" s="2">
        <f t="shared" si="29"/>
        <v>1.2593442511911404E-2</v>
      </c>
      <c r="P83" s="2">
        <f t="shared" si="31"/>
        <v>4.5472542491700629</v>
      </c>
      <c r="Q83" s="2">
        <f t="shared" si="32"/>
        <v>4.7816839937034805</v>
      </c>
      <c r="R83" s="2">
        <f t="shared" si="33"/>
        <v>1.5628728562645251</v>
      </c>
      <c r="S83" s="2">
        <f t="shared" si="34"/>
        <v>1.5647927843982794</v>
      </c>
      <c r="T83" s="2">
        <f t="shared" si="35"/>
        <v>0.4997927843982754</v>
      </c>
    </row>
    <row r="84" spans="1:20" x14ac:dyDescent="0.25">
      <c r="A84" s="1">
        <f t="shared" si="36"/>
        <v>2069</v>
      </c>
      <c r="B84" s="1">
        <f t="shared" si="37"/>
        <v>0.33</v>
      </c>
      <c r="C84" s="1">
        <f t="shared" si="38"/>
        <v>0.2</v>
      </c>
      <c r="D84" s="1">
        <f t="shared" si="39"/>
        <v>0.01</v>
      </c>
      <c r="E84" s="1">
        <f t="shared" si="40"/>
        <v>0.05</v>
      </c>
      <c r="F84" s="1">
        <f t="shared" si="41"/>
        <v>1.2500000000000001E-2</v>
      </c>
      <c r="G84" s="2">
        <f t="shared" si="42"/>
        <v>29.267824835911526</v>
      </c>
      <c r="H84" s="2">
        <f t="shared" si="43"/>
        <v>2.9373270466478232</v>
      </c>
      <c r="I84" s="2">
        <f t="shared" si="44"/>
        <v>2.2033964262559174</v>
      </c>
      <c r="J84" s="2">
        <f t="shared" si="25"/>
        <v>10.649003277157641</v>
      </c>
      <c r="K84" s="2">
        <f t="shared" si="26"/>
        <v>4.8329947122827885</v>
      </c>
      <c r="L84" s="2">
        <f t="shared" si="27"/>
        <v>4.5221556061226806</v>
      </c>
      <c r="M84" s="2">
        <f t="shared" si="28"/>
        <v>2.2769352262156164E-2</v>
      </c>
      <c r="N84" s="2">
        <f t="shared" si="30"/>
        <v>2.2499999999999999E-2</v>
      </c>
      <c r="O84" s="2">
        <f t="shared" si="29"/>
        <v>1.2588886246511534E-2</v>
      </c>
      <c r="P84" s="2">
        <f t="shared" si="31"/>
        <v>4.5472542491700629</v>
      </c>
      <c r="Q84" s="2">
        <f t="shared" si="32"/>
        <v>4.8418301741009069</v>
      </c>
      <c r="R84" s="2">
        <f t="shared" si="33"/>
        <v>1.5754662987764367</v>
      </c>
      <c r="S84" s="2">
        <f t="shared" si="34"/>
        <v>1.5772927843982796</v>
      </c>
      <c r="T84" s="2">
        <f t="shared" si="35"/>
        <v>0.4997927843982754</v>
      </c>
    </row>
    <row r="85" spans="1:20" x14ac:dyDescent="0.25">
      <c r="A85" s="1">
        <f t="shared" si="36"/>
        <v>2070</v>
      </c>
      <c r="B85" s="1">
        <f t="shared" si="37"/>
        <v>0.33</v>
      </c>
      <c r="C85" s="1">
        <f t="shared" si="38"/>
        <v>0.2</v>
      </c>
      <c r="D85" s="1">
        <f t="shared" si="39"/>
        <v>0.01</v>
      </c>
      <c r="E85" s="1">
        <f t="shared" si="40"/>
        <v>0.05</v>
      </c>
      <c r="F85" s="1">
        <f t="shared" si="41"/>
        <v>1.2500000000000001E-2</v>
      </c>
      <c r="G85" s="2">
        <f t="shared" si="42"/>
        <v>29.941879016764339</v>
      </c>
      <c r="H85" s="2">
        <f t="shared" si="43"/>
        <v>2.9742740725630776</v>
      </c>
      <c r="I85" s="2">
        <f t="shared" si="44"/>
        <v>2.2255409284924479</v>
      </c>
      <c r="J85" s="2">
        <f t="shared" si="25"/>
        <v>10.89228984227922</v>
      </c>
      <c r="K85" s="2">
        <f t="shared" si="26"/>
        <v>4.8942213116959001</v>
      </c>
      <c r="L85" s="2">
        <f t="shared" si="27"/>
        <v>4.5233738230223866</v>
      </c>
      <c r="M85" s="2">
        <f t="shared" si="28"/>
        <v>2.2756221051996581E-2</v>
      </c>
      <c r="N85" s="2">
        <f t="shared" si="30"/>
        <v>2.2499999999999999E-2</v>
      </c>
      <c r="O85" s="2">
        <f t="shared" si="29"/>
        <v>1.2584552947158873E-2</v>
      </c>
      <c r="P85" s="2">
        <f t="shared" si="31"/>
        <v>4.5472542491700629</v>
      </c>
      <c r="Q85" s="2">
        <f t="shared" si="32"/>
        <v>4.9027329003138167</v>
      </c>
      <c r="R85" s="2">
        <f t="shared" si="33"/>
        <v>1.5880551850229483</v>
      </c>
      <c r="S85" s="2">
        <f t="shared" si="34"/>
        <v>1.5897927843982795</v>
      </c>
      <c r="T85" s="2">
        <f t="shared" si="35"/>
        <v>0.4997927843982754</v>
      </c>
    </row>
    <row r="86" spans="1:20" x14ac:dyDescent="0.25">
      <c r="A86" s="1">
        <f t="shared" si="36"/>
        <v>2071</v>
      </c>
      <c r="B86" s="1">
        <f t="shared" si="37"/>
        <v>0.33</v>
      </c>
      <c r="C86" s="1">
        <f t="shared" si="38"/>
        <v>0.2</v>
      </c>
      <c r="D86" s="1">
        <f t="shared" si="39"/>
        <v>0.01</v>
      </c>
      <c r="E86" s="1">
        <f t="shared" si="40"/>
        <v>0.05</v>
      </c>
      <c r="F86" s="1">
        <f t="shared" si="41"/>
        <v>1.2500000000000001E-2</v>
      </c>
      <c r="G86" s="2">
        <f t="shared" si="42"/>
        <v>30.631054812459656</v>
      </c>
      <c r="H86" s="2">
        <f t="shared" si="43"/>
        <v>3.0116858348533775</v>
      </c>
      <c r="I86" s="2">
        <f t="shared" si="44"/>
        <v>2.2479079866764513</v>
      </c>
      <c r="J86" s="2">
        <f t="shared" si="25"/>
        <v>11.1410862416218</v>
      </c>
      <c r="K86" s="2">
        <f t="shared" si="26"/>
        <v>4.9562020810709333</v>
      </c>
      <c r="L86" s="2">
        <f t="shared" si="27"/>
        <v>4.5245329551125764</v>
      </c>
      <c r="M86" s="2">
        <f t="shared" si="28"/>
        <v>2.274373220141275E-2</v>
      </c>
      <c r="N86" s="2">
        <f t="shared" si="30"/>
        <v>2.2499999999999999E-2</v>
      </c>
      <c r="O86" s="2">
        <f t="shared" si="29"/>
        <v>1.2580431626466208E-2</v>
      </c>
      <c r="P86" s="2">
        <f t="shared" si="31"/>
        <v>4.5472542491700629</v>
      </c>
      <c r="Q86" s="2">
        <f t="shared" si="32"/>
        <v>4.9644016885170874</v>
      </c>
      <c r="R86" s="2">
        <f t="shared" si="33"/>
        <v>1.6006397379701072</v>
      </c>
      <c r="S86" s="2">
        <f t="shared" si="34"/>
        <v>1.6022927843982795</v>
      </c>
      <c r="T86" s="2">
        <f t="shared" si="35"/>
        <v>0.4997927843982754</v>
      </c>
    </row>
    <row r="87" spans="1:20" x14ac:dyDescent="0.25">
      <c r="A87" s="1">
        <f t="shared" si="36"/>
        <v>2072</v>
      </c>
      <c r="B87" s="1">
        <f t="shared" si="37"/>
        <v>0.33</v>
      </c>
      <c r="C87" s="1">
        <f t="shared" si="38"/>
        <v>0.2</v>
      </c>
      <c r="D87" s="1">
        <f t="shared" si="39"/>
        <v>0.01</v>
      </c>
      <c r="E87" s="1">
        <f t="shared" si="40"/>
        <v>0.05</v>
      </c>
      <c r="F87" s="1">
        <f t="shared" si="41"/>
        <v>1.2500000000000001E-2</v>
      </c>
      <c r="G87" s="2">
        <f t="shared" si="42"/>
        <v>31.335702100186761</v>
      </c>
      <c r="H87" s="2">
        <f t="shared" si="43"/>
        <v>3.0495681791826956</v>
      </c>
      <c r="I87" s="2">
        <f t="shared" si="44"/>
        <v>2.2704998375323853</v>
      </c>
      <c r="J87" s="2">
        <f t="shared" si="25"/>
        <v>11.395518562912162</v>
      </c>
      <c r="K87" s="2">
        <f t="shared" si="26"/>
        <v>5.0189470946172756</v>
      </c>
      <c r="L87" s="2">
        <f t="shared" si="27"/>
        <v>4.5256358638918242</v>
      </c>
      <c r="M87" s="2">
        <f t="shared" si="28"/>
        <v>2.2731854077999075E-2</v>
      </c>
      <c r="N87" s="2">
        <f t="shared" si="30"/>
        <v>2.2499999999999999E-2</v>
      </c>
      <c r="O87" s="2">
        <f t="shared" si="29"/>
        <v>1.2576511845739696E-2</v>
      </c>
      <c r="P87" s="2">
        <f t="shared" si="31"/>
        <v>4.5472542491700629</v>
      </c>
      <c r="Q87" s="2">
        <f t="shared" si="32"/>
        <v>5.0268461745843434</v>
      </c>
      <c r="R87" s="2">
        <f t="shared" si="33"/>
        <v>1.6132201695965733</v>
      </c>
      <c r="S87" s="2">
        <f t="shared" si="34"/>
        <v>1.6147927843982794</v>
      </c>
      <c r="T87" s="2">
        <f t="shared" si="35"/>
        <v>0.4997927843982754</v>
      </c>
    </row>
    <row r="88" spans="1:20" x14ac:dyDescent="0.25">
      <c r="A88" s="1">
        <f t="shared" si="36"/>
        <v>2073</v>
      </c>
      <c r="B88" s="1">
        <f t="shared" si="37"/>
        <v>0.33</v>
      </c>
      <c r="C88" s="1">
        <f t="shared" si="38"/>
        <v>0.2</v>
      </c>
      <c r="D88" s="1">
        <f t="shared" si="39"/>
        <v>0.01</v>
      </c>
      <c r="E88" s="1">
        <f t="shared" si="40"/>
        <v>0.05</v>
      </c>
      <c r="F88" s="1">
        <f t="shared" si="41"/>
        <v>1.2500000000000001E-2</v>
      </c>
      <c r="G88" s="2">
        <f t="shared" si="42"/>
        <v>32.056178566224652</v>
      </c>
      <c r="H88" s="2">
        <f t="shared" si="43"/>
        <v>3.0879270247444057</v>
      </c>
      <c r="I88" s="2">
        <f t="shared" si="44"/>
        <v>2.2933187402641617</v>
      </c>
      <c r="J88" s="2">
        <f t="shared" si="25"/>
        <v>11.655715743341972</v>
      </c>
      <c r="K88" s="2">
        <f t="shared" si="26"/>
        <v>5.0824665314510007</v>
      </c>
      <c r="L88" s="2">
        <f t="shared" si="27"/>
        <v>4.5266852726725597</v>
      </c>
      <c r="M88" s="2">
        <f t="shared" si="28"/>
        <v>2.2720556626938573E-2</v>
      </c>
      <c r="N88" s="2">
        <f t="shared" si="30"/>
        <v>2.2499999999999999E-2</v>
      </c>
      <c r="O88" s="2">
        <f t="shared" si="29"/>
        <v>1.257278368688973E-2</v>
      </c>
      <c r="P88" s="2">
        <f t="shared" si="31"/>
        <v>4.5472542491700629</v>
      </c>
      <c r="Q88" s="2">
        <f t="shared" si="32"/>
        <v>5.0900761155935754</v>
      </c>
      <c r="R88" s="2">
        <f t="shared" si="33"/>
        <v>1.6257966814423133</v>
      </c>
      <c r="S88" s="2">
        <f t="shared" si="34"/>
        <v>1.6272927843982794</v>
      </c>
      <c r="T88" s="2">
        <f t="shared" si="35"/>
        <v>0.4997927843982754</v>
      </c>
    </row>
    <row r="89" spans="1:20" x14ac:dyDescent="0.25">
      <c r="A89" s="1">
        <f t="shared" si="36"/>
        <v>2074</v>
      </c>
      <c r="B89" s="1">
        <f t="shared" si="37"/>
        <v>0.33</v>
      </c>
      <c r="C89" s="1">
        <f t="shared" si="38"/>
        <v>0.2</v>
      </c>
      <c r="D89" s="1">
        <f t="shared" si="39"/>
        <v>0.01</v>
      </c>
      <c r="E89" s="1">
        <f t="shared" si="40"/>
        <v>0.05</v>
      </c>
      <c r="F89" s="1">
        <f t="shared" si="41"/>
        <v>1.2500000000000001E-2</v>
      </c>
      <c r="G89" s="2">
        <f t="shared" si="42"/>
        <v>32.792849887490405</v>
      </c>
      <c r="H89" s="2">
        <f t="shared" si="43"/>
        <v>3.1267683651861686</v>
      </c>
      <c r="I89" s="2">
        <f t="shared" si="44"/>
        <v>2.3163669767810702</v>
      </c>
      <c r="J89" s="2">
        <f t="shared" si="25"/>
        <v>11.921809634975499</v>
      </c>
      <c r="K89" s="2">
        <f t="shared" si="26"/>
        <v>5.146770677737166</v>
      </c>
      <c r="L89" s="2">
        <f t="shared" si="27"/>
        <v>4.5276837732164203</v>
      </c>
      <c r="M89" s="2">
        <f t="shared" si="28"/>
        <v>2.270981129043835E-2</v>
      </c>
      <c r="N89" s="2">
        <f t="shared" si="30"/>
        <v>2.2499999999999999E-2</v>
      </c>
      <c r="O89" s="2">
        <f t="shared" si="29"/>
        <v>1.2569237725844656E-2</v>
      </c>
      <c r="P89" s="2">
        <f t="shared" si="31"/>
        <v>4.5472542491700629</v>
      </c>
      <c r="Q89" s="2">
        <f t="shared" si="32"/>
        <v>5.15410139135171</v>
      </c>
      <c r="R89" s="2">
        <f t="shared" si="33"/>
        <v>1.6383694651292029</v>
      </c>
      <c r="S89" s="2">
        <f t="shared" si="34"/>
        <v>1.6397927843982796</v>
      </c>
      <c r="T89" s="2">
        <f t="shared" si="35"/>
        <v>0.4997927843982754</v>
      </c>
    </row>
    <row r="90" spans="1:20" x14ac:dyDescent="0.25">
      <c r="A90" s="1">
        <f t="shared" si="36"/>
        <v>2075</v>
      </c>
      <c r="B90" s="1">
        <f t="shared" si="37"/>
        <v>0.33</v>
      </c>
      <c r="C90" s="1">
        <f t="shared" si="38"/>
        <v>0.2</v>
      </c>
      <c r="D90" s="1">
        <f t="shared" si="39"/>
        <v>0.01</v>
      </c>
      <c r="E90" s="1">
        <f t="shared" si="40"/>
        <v>0.05</v>
      </c>
      <c r="F90" s="1">
        <f t="shared" si="41"/>
        <v>1.2500000000000001E-2</v>
      </c>
      <c r="G90" s="2">
        <f t="shared" si="42"/>
        <v>33.546089917133621</v>
      </c>
      <c r="H90" s="2">
        <f t="shared" si="43"/>
        <v>3.1660982695464517</v>
      </c>
      <c r="I90" s="2">
        <f t="shared" si="44"/>
        <v>2.339646851925969</v>
      </c>
      <c r="J90" s="2">
        <f t="shared" si="25"/>
        <v>12.193935071627491</v>
      </c>
      <c r="K90" s="2">
        <f t="shared" si="26"/>
        <v>5.2118699288269044</v>
      </c>
      <c r="L90" s="2">
        <f t="shared" si="27"/>
        <v>4.5286338320546253</v>
      </c>
      <c r="M90" s="2">
        <f t="shared" si="28"/>
        <v>2.269959093145732E-2</v>
      </c>
      <c r="N90" s="2">
        <f t="shared" si="30"/>
        <v>2.2499999999999999E-2</v>
      </c>
      <c r="O90" s="2">
        <f t="shared" si="29"/>
        <v>1.2565865007380916E-2</v>
      </c>
      <c r="P90" s="2">
        <f t="shared" si="31"/>
        <v>4.5472542491700629</v>
      </c>
      <c r="Q90" s="2">
        <f t="shared" si="32"/>
        <v>5.2189320059383446</v>
      </c>
      <c r="R90" s="2">
        <f t="shared" si="33"/>
        <v>1.6509387028550475</v>
      </c>
      <c r="S90" s="2">
        <f t="shared" si="34"/>
        <v>1.6522927843982798</v>
      </c>
      <c r="T90" s="2">
        <f t="shared" si="35"/>
        <v>0.4997927843982754</v>
      </c>
    </row>
    <row r="91" spans="1:20" x14ac:dyDescent="0.25">
      <c r="A91" s="1">
        <f t="shared" si="36"/>
        <v>2076</v>
      </c>
      <c r="B91" s="1">
        <f t="shared" si="37"/>
        <v>0.33</v>
      </c>
      <c r="C91" s="1">
        <f t="shared" si="38"/>
        <v>0.2</v>
      </c>
      <c r="D91" s="1">
        <f t="shared" si="39"/>
        <v>0.01</v>
      </c>
      <c r="E91" s="1">
        <f t="shared" si="40"/>
        <v>0.05</v>
      </c>
      <c r="F91" s="1">
        <f t="shared" si="41"/>
        <v>1.2500000000000001E-2</v>
      </c>
      <c r="G91" s="2">
        <f t="shared" si="42"/>
        <v>34.316280874269943</v>
      </c>
      <c r="H91" s="2">
        <f t="shared" si="43"/>
        <v>3.2059228832028284</v>
      </c>
      <c r="I91" s="2">
        <f t="shared" si="44"/>
        <v>2.3631606937057725</v>
      </c>
      <c r="J91" s="2">
        <f t="shared" si="25"/>
        <v>12.472229937245366</v>
      </c>
      <c r="K91" s="2">
        <f t="shared" si="26"/>
        <v>5.2777747913905646</v>
      </c>
      <c r="L91" s="2">
        <f t="shared" si="27"/>
        <v>4.5295377965079471</v>
      </c>
      <c r="M91" s="2">
        <f t="shared" si="28"/>
        <v>2.2689869761480727E-2</v>
      </c>
      <c r="N91" s="2">
        <f t="shared" si="30"/>
        <v>2.2499999999999999E-2</v>
      </c>
      <c r="O91" s="2">
        <f t="shared" si="29"/>
        <v>1.2562657021288641E-2</v>
      </c>
      <c r="P91" s="2">
        <f t="shared" si="31"/>
        <v>4.5472542491700629</v>
      </c>
      <c r="Q91" s="2">
        <f t="shared" si="32"/>
        <v>5.2845780892689058</v>
      </c>
      <c r="R91" s="2">
        <f t="shared" si="33"/>
        <v>1.6635045678624283</v>
      </c>
      <c r="S91" s="2">
        <f t="shared" si="34"/>
        <v>1.6647927843982797</v>
      </c>
      <c r="T91" s="2">
        <f t="shared" si="35"/>
        <v>0.4997927843982754</v>
      </c>
    </row>
    <row r="92" spans="1:20" x14ac:dyDescent="0.25">
      <c r="A92" s="1">
        <f t="shared" si="36"/>
        <v>2077</v>
      </c>
      <c r="B92" s="1">
        <f t="shared" si="37"/>
        <v>0.33</v>
      </c>
      <c r="C92" s="1">
        <f t="shared" si="38"/>
        <v>0.2</v>
      </c>
      <c r="D92" s="1">
        <f t="shared" si="39"/>
        <v>0.01</v>
      </c>
      <c r="E92" s="1">
        <f t="shared" si="40"/>
        <v>0.05</v>
      </c>
      <c r="F92" s="1">
        <f t="shared" si="41"/>
        <v>1.2500000000000001E-2</v>
      </c>
      <c r="G92" s="2">
        <f t="shared" si="42"/>
        <v>35.10381353794876</v>
      </c>
      <c r="H92" s="2">
        <f t="shared" si="43"/>
        <v>3.2462484288322062</v>
      </c>
      <c r="I92" s="2">
        <f t="shared" si="44"/>
        <v>2.3869108535242538</v>
      </c>
      <c r="J92" s="2">
        <f t="shared" si="25"/>
        <v>12.756835235830637</v>
      </c>
      <c r="K92" s="2">
        <f t="shared" si="26"/>
        <v>5.3444958855481666</v>
      </c>
      <c r="L92" s="2">
        <f t="shared" si="27"/>
        <v>4.530397900420267</v>
      </c>
      <c r="M92" s="2">
        <f t="shared" si="28"/>
        <v>2.268062327211226E-2</v>
      </c>
      <c r="N92" s="2">
        <f t="shared" si="30"/>
        <v>2.2499999999999999E-2</v>
      </c>
      <c r="O92" s="2">
        <f t="shared" si="29"/>
        <v>1.2559605679797047E-2</v>
      </c>
      <c r="P92" s="2">
        <f t="shared" si="31"/>
        <v>4.5472542491700629</v>
      </c>
      <c r="Q92" s="2">
        <f t="shared" si="32"/>
        <v>5.3510498986774735</v>
      </c>
      <c r="R92" s="2">
        <f t="shared" si="33"/>
        <v>1.6760672248837172</v>
      </c>
      <c r="S92" s="2">
        <f t="shared" si="34"/>
        <v>1.6772927843982799</v>
      </c>
      <c r="T92" s="2">
        <f t="shared" si="35"/>
        <v>0.4997927843982754</v>
      </c>
    </row>
    <row r="93" spans="1:20" x14ac:dyDescent="0.25">
      <c r="A93" s="1">
        <f t="shared" si="36"/>
        <v>2078</v>
      </c>
      <c r="B93" s="1">
        <f t="shared" si="37"/>
        <v>0.33</v>
      </c>
      <c r="C93" s="1">
        <f t="shared" si="38"/>
        <v>0.2</v>
      </c>
      <c r="D93" s="1">
        <f t="shared" si="39"/>
        <v>0.01</v>
      </c>
      <c r="E93" s="1">
        <f t="shared" si="40"/>
        <v>0.05</v>
      </c>
      <c r="F93" s="1">
        <f t="shared" si="41"/>
        <v>1.2500000000000001E-2</v>
      </c>
      <c r="G93" s="2">
        <f t="shared" si="42"/>
        <v>35.909087445452556</v>
      </c>
      <c r="H93" s="2">
        <f t="shared" si="43"/>
        <v>3.2870812073831326</v>
      </c>
      <c r="I93" s="2">
        <f t="shared" si="44"/>
        <v>2.4108997064171866</v>
      </c>
      <c r="J93" s="2">
        <f t="shared" si="25"/>
        <v>13.047895162935216</v>
      </c>
      <c r="K93" s="2">
        <f t="shared" si="26"/>
        <v>5.4120439469983426</v>
      </c>
      <c r="L93" s="2">
        <f t="shared" si="27"/>
        <v>4.5312162696190477</v>
      </c>
      <c r="M93" s="2">
        <f t="shared" si="28"/>
        <v>2.2671828170267666E-2</v>
      </c>
      <c r="N93" s="2">
        <f t="shared" si="30"/>
        <v>2.2499999999999999E-2</v>
      </c>
      <c r="O93" s="2">
        <f t="shared" si="29"/>
        <v>1.255670329618833E-2</v>
      </c>
      <c r="P93" s="2">
        <f t="shared" si="31"/>
        <v>4.5472542491700629</v>
      </c>
      <c r="Q93" s="2">
        <f t="shared" si="32"/>
        <v>5.4183578205195042</v>
      </c>
      <c r="R93" s="2">
        <f t="shared" si="33"/>
        <v>1.6886268305635144</v>
      </c>
      <c r="S93" s="2">
        <f t="shared" si="34"/>
        <v>1.6897927843982796</v>
      </c>
      <c r="T93" s="2">
        <f t="shared" si="35"/>
        <v>0.4997927843982754</v>
      </c>
    </row>
    <row r="94" spans="1:20" x14ac:dyDescent="0.25">
      <c r="A94" s="1">
        <f t="shared" si="36"/>
        <v>2079</v>
      </c>
      <c r="B94" s="1">
        <f t="shared" si="37"/>
        <v>0.33</v>
      </c>
      <c r="C94" s="1">
        <f t="shared" si="38"/>
        <v>0.2</v>
      </c>
      <c r="D94" s="1">
        <f t="shared" si="39"/>
        <v>0.01</v>
      </c>
      <c r="E94" s="1">
        <f t="shared" si="40"/>
        <v>0.05</v>
      </c>
      <c r="F94" s="1">
        <f t="shared" si="41"/>
        <v>1.2500000000000001E-2</v>
      </c>
      <c r="G94" s="2">
        <f t="shared" si="42"/>
        <v>36.732511095027533</v>
      </c>
      <c r="H94" s="2">
        <f t="shared" si="43"/>
        <v>3.3284275990603316</v>
      </c>
      <c r="I94" s="2">
        <f t="shared" si="44"/>
        <v>2.4351296512898508</v>
      </c>
      <c r="J94" s="2">
        <f t="shared" si="25"/>
        <v>13.345557178769083</v>
      </c>
      <c r="K94" s="2">
        <f t="shared" si="26"/>
        <v>5.4804298291469395</v>
      </c>
      <c r="L94" s="2">
        <f t="shared" si="27"/>
        <v>4.5319949271154751</v>
      </c>
      <c r="M94" s="2">
        <f t="shared" si="28"/>
        <v>2.2663462316768579E-2</v>
      </c>
      <c r="N94" s="2">
        <f t="shared" si="30"/>
        <v>2.2499999999999999E-2</v>
      </c>
      <c r="O94" s="2">
        <f t="shared" si="29"/>
        <v>1.2553942564533632E-2</v>
      </c>
      <c r="P94" s="2">
        <f t="shared" si="31"/>
        <v>4.5472542491700629</v>
      </c>
      <c r="Q94" s="2">
        <f t="shared" si="32"/>
        <v>5.4865123717947268</v>
      </c>
      <c r="R94" s="2">
        <f t="shared" si="33"/>
        <v>1.7011835338597028</v>
      </c>
      <c r="S94" s="2">
        <f t="shared" si="34"/>
        <v>1.7022927843982798</v>
      </c>
      <c r="T94" s="2">
        <f t="shared" si="35"/>
        <v>0.4997927843982754</v>
      </c>
    </row>
    <row r="95" spans="1:20" x14ac:dyDescent="0.25">
      <c r="A95" s="1">
        <f t="shared" si="36"/>
        <v>2080</v>
      </c>
      <c r="B95" s="1">
        <f t="shared" si="37"/>
        <v>0.33</v>
      </c>
      <c r="C95" s="1">
        <f t="shared" si="38"/>
        <v>0.2</v>
      </c>
      <c r="D95" s="1">
        <f t="shared" si="39"/>
        <v>0.01</v>
      </c>
      <c r="E95" s="1">
        <f t="shared" si="40"/>
        <v>0.05</v>
      </c>
      <c r="F95" s="1">
        <f t="shared" si="41"/>
        <v>1.2500000000000001E-2</v>
      </c>
      <c r="G95" s="2">
        <f t="shared" si="42"/>
        <v>37.574502153147485</v>
      </c>
      <c r="H95" s="2">
        <f t="shared" si="43"/>
        <v>3.3702940643216222</v>
      </c>
      <c r="I95" s="2">
        <f t="shared" si="44"/>
        <v>2.4596031111569254</v>
      </c>
      <c r="J95" s="2">
        <f t="shared" si="25"/>
        <v>13.649972082956518</v>
      </c>
      <c r="K95" s="2">
        <f t="shared" si="26"/>
        <v>5.5496645052363629</v>
      </c>
      <c r="L95" s="2">
        <f t="shared" si="27"/>
        <v>4.532735798056434</v>
      </c>
      <c r="M95" s="2">
        <f t="shared" si="28"/>
        <v>2.2655504668146934E-2</v>
      </c>
      <c r="N95" s="2">
        <f t="shared" si="30"/>
        <v>2.2499999999999999E-2</v>
      </c>
      <c r="O95" s="2">
        <f t="shared" si="29"/>
        <v>1.2551316540488489E-2</v>
      </c>
      <c r="P95" s="2">
        <f t="shared" si="31"/>
        <v>4.5472542491700629</v>
      </c>
      <c r="Q95" s="2">
        <f t="shared" si="32"/>
        <v>5.5555242017904378</v>
      </c>
      <c r="R95" s="2">
        <f t="shared" si="33"/>
        <v>1.7137374764242364</v>
      </c>
      <c r="S95" s="2">
        <f t="shared" si="34"/>
        <v>1.71479278439828</v>
      </c>
      <c r="T95" s="2">
        <f t="shared" si="35"/>
        <v>0.4997927843982754</v>
      </c>
    </row>
    <row r="96" spans="1:20" x14ac:dyDescent="0.25">
      <c r="A96" s="1">
        <f t="shared" si="36"/>
        <v>2081</v>
      </c>
      <c r="B96" s="1">
        <f t="shared" si="37"/>
        <v>0.33</v>
      </c>
      <c r="C96" s="1">
        <f t="shared" si="38"/>
        <v>0.2</v>
      </c>
      <c r="D96" s="1">
        <f t="shared" si="39"/>
        <v>0.01</v>
      </c>
      <c r="E96" s="1">
        <f t="shared" si="40"/>
        <v>0.05</v>
      </c>
      <c r="F96" s="1">
        <f t="shared" si="41"/>
        <v>1.2500000000000001E-2</v>
      </c>
      <c r="G96" s="2">
        <f t="shared" si="42"/>
        <v>38.435487666415369</v>
      </c>
      <c r="H96" s="2">
        <f t="shared" si="43"/>
        <v>3.4126871448873795</v>
      </c>
      <c r="I96" s="2">
        <f t="shared" si="44"/>
        <v>2.484322533384792</v>
      </c>
      <c r="J96" s="2">
        <f t="shared" si="25"/>
        <v>13.961294090978981</v>
      </c>
      <c r="K96" s="2">
        <f t="shared" si="26"/>
        <v>5.619759070476757</v>
      </c>
      <c r="L96" s="2">
        <f t="shared" si="27"/>
        <v>4.5334407144399833</v>
      </c>
      <c r="M96" s="2">
        <f t="shared" si="28"/>
        <v>2.2647935221481563E-2</v>
      </c>
      <c r="N96" s="2">
        <f t="shared" si="30"/>
        <v>2.2499999999999999E-2</v>
      </c>
      <c r="O96" s="2">
        <f t="shared" si="29"/>
        <v>1.2548818623088917E-2</v>
      </c>
      <c r="P96" s="2">
        <f t="shared" si="31"/>
        <v>4.5472542491700629</v>
      </c>
      <c r="Q96" s="2">
        <f t="shared" si="32"/>
        <v>5.6254040937454812</v>
      </c>
      <c r="R96" s="2">
        <f t="shared" si="33"/>
        <v>1.7262887929647246</v>
      </c>
      <c r="S96" s="2">
        <f t="shared" si="34"/>
        <v>1.7272927843982799</v>
      </c>
      <c r="T96" s="2">
        <f t="shared" si="35"/>
        <v>0.4997927843982754</v>
      </c>
    </row>
    <row r="97" spans="1:20" x14ac:dyDescent="0.25">
      <c r="A97" s="1">
        <f t="shared" si="36"/>
        <v>2082</v>
      </c>
      <c r="B97" s="1">
        <f t="shared" si="37"/>
        <v>0.33</v>
      </c>
      <c r="C97" s="1">
        <f t="shared" si="38"/>
        <v>0.2</v>
      </c>
      <c r="D97" s="1">
        <f t="shared" si="39"/>
        <v>0.01</v>
      </c>
      <c r="E97" s="1">
        <f t="shared" si="40"/>
        <v>0.05</v>
      </c>
      <c r="F97" s="1">
        <f t="shared" si="41"/>
        <v>1.2500000000000001E-2</v>
      </c>
      <c r="G97" s="2">
        <f t="shared" si="42"/>
        <v>39.31590427820921</v>
      </c>
      <c r="H97" s="2">
        <f t="shared" si="43"/>
        <v>3.4556134647626915</v>
      </c>
      <c r="I97" s="2">
        <f t="shared" si="44"/>
        <v>2.5092903899362726</v>
      </c>
      <c r="J97" s="2">
        <f t="shared" si="25"/>
        <v>14.279680912343574</v>
      </c>
      <c r="K97" s="2">
        <f t="shared" si="26"/>
        <v>5.6907247441800584</v>
      </c>
      <c r="L97" s="2">
        <f t="shared" si="27"/>
        <v>4.5341114196053818</v>
      </c>
      <c r="M97" s="2">
        <f t="shared" si="28"/>
        <v>2.2640734962100673E-2</v>
      </c>
      <c r="N97" s="2">
        <f t="shared" si="30"/>
        <v>2.2499999999999999E-2</v>
      </c>
      <c r="O97" s="2">
        <f t="shared" si="29"/>
        <v>1.2546442537493223E-2</v>
      </c>
      <c r="P97" s="2">
        <f t="shared" si="31"/>
        <v>4.5472542491700629</v>
      </c>
      <c r="Q97" s="2">
        <f t="shared" si="32"/>
        <v>5.6961629665351454</v>
      </c>
      <c r="R97" s="2">
        <f t="shared" si="33"/>
        <v>1.7388376115878139</v>
      </c>
      <c r="S97" s="2">
        <f t="shared" si="34"/>
        <v>1.7397927843982801</v>
      </c>
      <c r="T97" s="2">
        <f t="shared" si="35"/>
        <v>0.4997927843982754</v>
      </c>
    </row>
    <row r="98" spans="1:20" x14ac:dyDescent="0.25">
      <c r="A98" s="1">
        <f t="shared" si="36"/>
        <v>2083</v>
      </c>
      <c r="B98" s="1">
        <f t="shared" si="37"/>
        <v>0.33</v>
      </c>
      <c r="C98" s="1">
        <f t="shared" si="38"/>
        <v>0.2</v>
      </c>
      <c r="D98" s="1">
        <f t="shared" si="39"/>
        <v>0.01</v>
      </c>
      <c r="E98" s="1">
        <f t="shared" si="40"/>
        <v>0.05</v>
      </c>
      <c r="F98" s="1">
        <f t="shared" si="41"/>
        <v>1.2500000000000001E-2</v>
      </c>
      <c r="G98" s="2">
        <f t="shared" si="42"/>
        <v>40.216198450181707</v>
      </c>
      <c r="H98" s="2">
        <f t="shared" si="43"/>
        <v>3.4990797312723729</v>
      </c>
      <c r="I98" s="2">
        <f t="shared" si="44"/>
        <v>2.5345091776178292</v>
      </c>
      <c r="J98" s="2">
        <f t="shared" si="25"/>
        <v>14.605293830516759</v>
      </c>
      <c r="K98" s="2">
        <f t="shared" si="26"/>
        <v>5.7625728718979001</v>
      </c>
      <c r="L98" s="2">
        <f t="shared" si="27"/>
        <v>4.5347495725083391</v>
      </c>
      <c r="M98" s="2">
        <f t="shared" si="28"/>
        <v>2.2633885813992297E-2</v>
      </c>
      <c r="N98" s="2">
        <f t="shared" si="30"/>
        <v>2.2499999999999999E-2</v>
      </c>
      <c r="O98" s="2">
        <f t="shared" si="29"/>
        <v>1.2544182318617458E-2</v>
      </c>
      <c r="P98" s="2">
        <f t="shared" si="31"/>
        <v>4.5472542491700629</v>
      </c>
      <c r="Q98" s="2">
        <f t="shared" si="32"/>
        <v>5.7678118763772641</v>
      </c>
      <c r="R98" s="2">
        <f t="shared" si="33"/>
        <v>1.7513840541253074</v>
      </c>
      <c r="S98" s="2">
        <f t="shared" si="34"/>
        <v>1.7522927843982801</v>
      </c>
      <c r="T98" s="2">
        <f t="shared" si="35"/>
        <v>0.4997927843982754</v>
      </c>
    </row>
    <row r="99" spans="1:20" x14ac:dyDescent="0.25">
      <c r="A99" s="1">
        <f t="shared" si="36"/>
        <v>2084</v>
      </c>
      <c r="B99" s="1">
        <f t="shared" si="37"/>
        <v>0.33</v>
      </c>
      <c r="C99" s="1">
        <f t="shared" si="38"/>
        <v>0.2</v>
      </c>
      <c r="D99" s="1">
        <f t="shared" si="39"/>
        <v>0.01</v>
      </c>
      <c r="E99" s="1">
        <f t="shared" si="40"/>
        <v>0.05</v>
      </c>
      <c r="F99" s="1">
        <f t="shared" si="41"/>
        <v>1.2500000000000001E-2</v>
      </c>
      <c r="G99" s="2">
        <f t="shared" si="42"/>
        <v>41.136826688725201</v>
      </c>
      <c r="H99" s="2">
        <f t="shared" si="43"/>
        <v>3.5430927361089988</v>
      </c>
      <c r="I99" s="2">
        <f t="shared" si="44"/>
        <v>2.5599814183292455</v>
      </c>
      <c r="J99" s="2">
        <f t="shared" si="25"/>
        <v>14.938297784664124</v>
      </c>
      <c r="K99" s="2">
        <f t="shared" si="26"/>
        <v>5.8353149275643972</v>
      </c>
      <c r="L99" s="2">
        <f t="shared" si="27"/>
        <v>4.5353567517915456</v>
      </c>
      <c r="M99" s="2">
        <f t="shared" si="28"/>
        <v>2.2627370592775559E-2</v>
      </c>
      <c r="N99" s="2">
        <f t="shared" si="30"/>
        <v>2.2499999999999999E-2</v>
      </c>
      <c r="O99" s="2">
        <f t="shared" si="29"/>
        <v>1.2542032295615934E-2</v>
      </c>
      <c r="P99" s="2">
        <f t="shared" si="31"/>
        <v>4.5472542491700629</v>
      </c>
      <c r="Q99" s="2">
        <f t="shared" si="32"/>
        <v>5.8403620185597713</v>
      </c>
      <c r="R99" s="2">
        <f t="shared" si="33"/>
        <v>1.763928236443925</v>
      </c>
      <c r="S99" s="2">
        <f t="shared" si="34"/>
        <v>1.7647927843982802</v>
      </c>
      <c r="T99" s="2">
        <f t="shared" si="35"/>
        <v>0.4997927843982754</v>
      </c>
    </row>
    <row r="100" spans="1:20" x14ac:dyDescent="0.25">
      <c r="A100" s="1">
        <f t="shared" si="36"/>
        <v>2085</v>
      </c>
      <c r="B100" s="1">
        <f t="shared" si="37"/>
        <v>0.33</v>
      </c>
      <c r="C100" s="1">
        <f t="shared" si="38"/>
        <v>0.2</v>
      </c>
      <c r="D100" s="1">
        <f t="shared" si="39"/>
        <v>0.01</v>
      </c>
      <c r="E100" s="1">
        <f t="shared" si="40"/>
        <v>0.05</v>
      </c>
      <c r="F100" s="1">
        <f t="shared" si="41"/>
        <v>1.2500000000000001E-2</v>
      </c>
      <c r="G100" s="2">
        <f t="shared" si="42"/>
        <v>42.078255776516336</v>
      </c>
      <c r="H100" s="2">
        <f t="shared" si="43"/>
        <v>3.5876593563941195</v>
      </c>
      <c r="I100" s="2">
        <f t="shared" si="44"/>
        <v>2.5857096593158198</v>
      </c>
      <c r="J100" s="2">
        <f t="shared" si="25"/>
        <v>15.278861453237601</v>
      </c>
      <c r="K100" s="2">
        <f t="shared" si="26"/>
        <v>5.9089625156446983</v>
      </c>
      <c r="L100" s="2">
        <f t="shared" si="27"/>
        <v>4.5359344596601856</v>
      </c>
      <c r="M100" s="2">
        <f t="shared" si="28"/>
        <v>2.2621172961093408E-2</v>
      </c>
      <c r="N100" s="2">
        <f t="shared" si="30"/>
        <v>2.2499999999999999E-2</v>
      </c>
      <c r="O100" s="2">
        <f t="shared" si="29"/>
        <v>1.2539987077160825E-2</v>
      </c>
      <c r="P100" s="2">
        <f t="shared" si="31"/>
        <v>4.5472542491700629</v>
      </c>
      <c r="Q100" s="2">
        <f t="shared" si="32"/>
        <v>5.9138247291899866</v>
      </c>
      <c r="R100" s="2">
        <f t="shared" si="33"/>
        <v>1.7764702687395411</v>
      </c>
      <c r="S100" s="2">
        <f t="shared" si="34"/>
        <v>1.7772927843982802</v>
      </c>
      <c r="T100" s="2">
        <f t="shared" si="35"/>
        <v>0.4997927843982754</v>
      </c>
    </row>
    <row r="101" spans="1:20" x14ac:dyDescent="0.25">
      <c r="A101" s="1">
        <f t="shared" si="36"/>
        <v>2086</v>
      </c>
      <c r="B101" s="1">
        <f t="shared" si="37"/>
        <v>0.33</v>
      </c>
      <c r="C101" s="1">
        <f t="shared" si="38"/>
        <v>0.2</v>
      </c>
      <c r="D101" s="1">
        <f t="shared" si="39"/>
        <v>0.01</v>
      </c>
      <c r="E101" s="1">
        <f t="shared" si="40"/>
        <v>0.05</v>
      </c>
      <c r="F101" s="1">
        <f t="shared" si="41"/>
        <v>1.2500000000000001E-2</v>
      </c>
      <c r="G101" s="2">
        <f t="shared" si="42"/>
        <v>43.040963009257382</v>
      </c>
      <c r="H101" s="2">
        <f t="shared" si="43"/>
        <v>3.6327865557528267</v>
      </c>
      <c r="I101" s="2">
        <f t="shared" si="44"/>
        <v>2.6116964734230907</v>
      </c>
      <c r="J101" s="2">
        <f t="shared" ref="J101:J104" si="45">G101^B101*(H101*I101)^(1-B101)</f>
        <v>15.627157339452708</v>
      </c>
      <c r="K101" s="2">
        <f t="shared" ref="K101:K104" si="46">J101/I101</f>
        <v>5.9835273732902623</v>
      </c>
      <c r="L101" s="2">
        <f t="shared" si="27"/>
        <v>4.5364841255716399</v>
      </c>
      <c r="M101" s="2">
        <f t="shared" ref="M101:M104" si="47">C101*(1/L101)^(1-B101)-E101</f>
        <v>2.261527738629629E-2</v>
      </c>
      <c r="N101" s="2">
        <f t="shared" si="30"/>
        <v>2.2499999999999999E-2</v>
      </c>
      <c r="O101" s="2">
        <f t="shared" ref="O101:O104" si="48">B101*(M101-F101-D101)+F101</f>
        <v>1.2538041537477776E-2</v>
      </c>
      <c r="P101" s="2">
        <f t="shared" si="31"/>
        <v>4.5472542491700629</v>
      </c>
      <c r="Q101" s="2">
        <f t="shared" si="32"/>
        <v>5.9882114869659091</v>
      </c>
      <c r="R101" s="2">
        <f t="shared" si="33"/>
        <v>1.7890102558167016</v>
      </c>
      <c r="S101" s="2">
        <f t="shared" si="34"/>
        <v>1.7897927843982804</v>
      </c>
      <c r="T101" s="2">
        <f t="shared" si="35"/>
        <v>0.4997927843982754</v>
      </c>
    </row>
    <row r="102" spans="1:20" x14ac:dyDescent="0.25">
      <c r="A102" s="1">
        <f t="shared" si="36"/>
        <v>2087</v>
      </c>
      <c r="B102" s="1">
        <f t="shared" si="37"/>
        <v>0.33</v>
      </c>
      <c r="C102" s="1">
        <f t="shared" si="38"/>
        <v>0.2</v>
      </c>
      <c r="D102" s="1">
        <f t="shared" si="39"/>
        <v>0.01</v>
      </c>
      <c r="E102" s="1">
        <f t="shared" si="40"/>
        <v>0.05</v>
      </c>
      <c r="F102" s="1">
        <f t="shared" si="41"/>
        <v>1.2500000000000001E-2</v>
      </c>
      <c r="G102" s="2">
        <f t="shared" si="42"/>
        <v>44.025436437733745</v>
      </c>
      <c r="H102" s="2">
        <f t="shared" si="43"/>
        <v>3.6784813854018319</v>
      </c>
      <c r="I102" s="2">
        <f t="shared" si="44"/>
        <v>2.637944459354125</v>
      </c>
      <c r="J102" s="2">
        <f t="shared" si="45"/>
        <v>15.983361858699213</v>
      </c>
      <c r="K102" s="2">
        <f t="shared" si="46"/>
        <v>6.0590213725017481</v>
      </c>
      <c r="L102" s="2">
        <f t="shared" si="27"/>
        <v>4.5370071097481564</v>
      </c>
      <c r="M102" s="2">
        <f t="shared" si="47"/>
        <v>2.2609669100293314E-2</v>
      </c>
      <c r="N102" s="2">
        <f t="shared" si="30"/>
        <v>2.2499999999999999E-2</v>
      </c>
      <c r="O102" s="2">
        <f t="shared" si="48"/>
        <v>1.2536190803096795E-2</v>
      </c>
      <c r="P102" s="2">
        <f t="shared" si="31"/>
        <v>4.5472542491700629</v>
      </c>
      <c r="Q102" s="2">
        <f t="shared" si="32"/>
        <v>6.0635339149697804</v>
      </c>
      <c r="R102" s="2">
        <f t="shared" si="33"/>
        <v>1.8015482973541794</v>
      </c>
      <c r="S102" s="2">
        <f t="shared" si="34"/>
        <v>1.8022927843982803</v>
      </c>
      <c r="T102" s="2">
        <f t="shared" si="35"/>
        <v>0.4997927843982754</v>
      </c>
    </row>
    <row r="103" spans="1:20" x14ac:dyDescent="0.25">
      <c r="A103" s="1">
        <f t="shared" si="36"/>
        <v>2088</v>
      </c>
      <c r="B103" s="1">
        <f t="shared" si="37"/>
        <v>0.33</v>
      </c>
      <c r="C103" s="1">
        <f t="shared" si="38"/>
        <v>0.2</v>
      </c>
      <c r="D103" s="1">
        <f t="shared" si="39"/>
        <v>0.01</v>
      </c>
      <c r="E103" s="1">
        <f t="shared" si="40"/>
        <v>0.05</v>
      </c>
      <c r="F103" s="1">
        <f t="shared" si="41"/>
        <v>1.2500000000000001E-2</v>
      </c>
      <c r="G103" s="2">
        <f t="shared" si="42"/>
        <v>45.032175115310068</v>
      </c>
      <c r="H103" s="2">
        <f t="shared" si="43"/>
        <v>3.7247509852512346</v>
      </c>
      <c r="I103" s="2">
        <f t="shared" si="44"/>
        <v>2.6644562419293889</v>
      </c>
      <c r="J103" s="2">
        <f t="shared" si="45"/>
        <v>16.347655427929563</v>
      </c>
      <c r="K103" s="2">
        <f t="shared" si="46"/>
        <v>6.1354565223003554</v>
      </c>
      <c r="L103" s="2">
        <f t="shared" si="27"/>
        <v>4.5375047065209042</v>
      </c>
      <c r="M103" s="2">
        <f t="shared" si="47"/>
        <v>2.2604334061454984E-2</v>
      </c>
      <c r="N103" s="2">
        <f t="shared" si="30"/>
        <v>2.2499999999999999E-2</v>
      </c>
      <c r="O103" s="2">
        <f t="shared" si="48"/>
        <v>1.2534430240280146E-2</v>
      </c>
      <c r="P103" s="2">
        <f t="shared" si="31"/>
        <v>4.5472542491700629</v>
      </c>
      <c r="Q103" s="2">
        <f t="shared" si="32"/>
        <v>6.1398037824842211</v>
      </c>
      <c r="R103" s="2">
        <f t="shared" si="33"/>
        <v>1.8140844881572766</v>
      </c>
      <c r="S103" s="2">
        <f t="shared" si="34"/>
        <v>1.8147927843982805</v>
      </c>
      <c r="T103" s="2">
        <f t="shared" si="35"/>
        <v>0.4997927843982754</v>
      </c>
    </row>
    <row r="104" spans="1:20" x14ac:dyDescent="0.25">
      <c r="A104" s="1">
        <f t="shared" si="36"/>
        <v>2089</v>
      </c>
      <c r="B104" s="1">
        <f t="shared" si="37"/>
        <v>0.33</v>
      </c>
      <c r="C104" s="1">
        <f t="shared" si="38"/>
        <v>0.2</v>
      </c>
      <c r="D104" s="1">
        <f t="shared" si="39"/>
        <v>0.01</v>
      </c>
      <c r="E104" s="1">
        <f t="shared" si="40"/>
        <v>0.05</v>
      </c>
      <c r="F104" s="1">
        <f t="shared" si="41"/>
        <v>1.2500000000000001E-2</v>
      </c>
      <c r="G104" s="2">
        <f t="shared" si="42"/>
        <v>46.061689350989973</v>
      </c>
      <c r="H104" s="2">
        <f t="shared" si="43"/>
        <v>3.7716025850201476</v>
      </c>
      <c r="I104" s="2">
        <f t="shared" si="44"/>
        <v>2.6912344723492336</v>
      </c>
      <c r="J104" s="2">
        <f t="shared" si="45"/>
        <v>16.720222557070556</v>
      </c>
      <c r="K104" s="2">
        <f t="shared" si="46"/>
        <v>6.2128449709085114</v>
      </c>
      <c r="L104" s="2">
        <f t="shared" si="27"/>
        <v>4.5379781475133889</v>
      </c>
      <c r="M104" s="2">
        <f t="shared" si="47"/>
        <v>2.2599258918458237E-2</v>
      </c>
      <c r="N104" s="2">
        <f t="shared" si="30"/>
        <v>2.2499999999999999E-2</v>
      </c>
      <c r="O104" s="2">
        <f t="shared" si="48"/>
        <v>1.2532755443091218E-2</v>
      </c>
      <c r="P104" s="2">
        <f t="shared" si="31"/>
        <v>4.5472542491700629</v>
      </c>
      <c r="Q104" s="2">
        <f t="shared" si="32"/>
        <v>6.2170330068312021</v>
      </c>
      <c r="R104" s="2">
        <f t="shared" si="33"/>
        <v>1.8266189183975567</v>
      </c>
      <c r="S104" s="2">
        <f t="shared" si="34"/>
        <v>1.8272927843982805</v>
      </c>
      <c r="T104" s="2">
        <f t="shared" si="35"/>
        <v>0.4997927843982754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951EA-85F2-6E40-9B21-3826563E3D7C}">
  <dimension ref="A1"/>
  <sheetViews>
    <sheetView topLeftCell="A26" workbookViewId="0">
      <selection activeCell="O31" sqref="O3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Solow Model</vt:lpstr>
      <vt:lpstr>Figures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Vollrath, Dietrich E</dc:creator>
  <cp:lastModifiedBy>Vollrath, Dietrich E</cp:lastModifiedBy>
  <dcterms:created xsi:type="dcterms:W3CDTF">2022-12-22T22:53:32Z</dcterms:created>
  <dcterms:modified xsi:type="dcterms:W3CDTF">2026-03-11T15:45:28Z</dcterms:modified>
</cp:coreProperties>
</file>
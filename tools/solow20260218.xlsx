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tz/Library/CloudStorage/Dropbox/Class/ec4335/Daily/"/>
    </mc:Choice>
  </mc:AlternateContent>
  <xr:revisionPtr revIDLastSave="0" documentId="13_ncr:1_{36CD97AE-B258-1E4B-A963-340A94F00F0F}" xr6:coauthVersionLast="47" xr6:coauthVersionMax="47" xr10:uidLastSave="{00000000-0000-0000-0000-000000000000}"/>
  <bookViews>
    <workbookView xWindow="0" yWindow="660" windowWidth="29400" windowHeight="16660" xr2:uid="{E49F33A0-50F7-4F47-A07C-870FC870F6D4}"/>
  </bookViews>
  <sheets>
    <sheet name="Sheet1" sheetId="1" r:id="rId1"/>
  </sheets>
  <definedNames>
    <definedName name="_xlchart.v1.0" hidden="1">Sheet1!$L$1</definedName>
    <definedName name="_xlchart.v1.1" hidden="1">Sheet1!$L$2:$L$100</definedName>
    <definedName name="_xlchart.v1.10" hidden="1">Sheet1!$N$1</definedName>
    <definedName name="_xlchart.v1.11" hidden="1">Sheet1!$N$2:$N$100</definedName>
    <definedName name="_xlchart.v1.2" hidden="1">Sheet1!$M$1</definedName>
    <definedName name="_xlchart.v1.3" hidden="1">Sheet1!$M$2:$M$100</definedName>
    <definedName name="_xlchart.v1.4" hidden="1">Sheet1!$N$1</definedName>
    <definedName name="_xlchart.v1.5" hidden="1">Sheet1!$N$2:$N$100</definedName>
    <definedName name="_xlchart.v1.6" hidden="1">Sheet1!$L$1</definedName>
    <definedName name="_xlchart.v1.7" hidden="1">Sheet1!$L$2:$L$100</definedName>
    <definedName name="_xlchart.v1.8" hidden="1">Sheet1!$M$1</definedName>
    <definedName name="_xlchart.v1.9" hidden="1">Sheet1!$M$2:$M$100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I3" i="1"/>
  <c r="H3" i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E3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C3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N2" i="1"/>
  <c r="L2" i="1"/>
  <c r="M2" i="1" s="1"/>
  <c r="G3" i="1" s="1"/>
  <c r="J2" i="1"/>
  <c r="K2" i="1" s="1"/>
  <c r="N3" i="1" l="1"/>
  <c r="H4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E4" i="1"/>
  <c r="E5" i="1" s="1"/>
  <c r="E6" i="1" s="1"/>
  <c r="L3" i="1"/>
  <c r="J3" i="1"/>
  <c r="K3" i="1" s="1"/>
  <c r="M3" i="1"/>
  <c r="G4" i="1" s="1"/>
  <c r="C4" i="1"/>
  <c r="O3" i="1"/>
  <c r="N4" i="1" l="1"/>
  <c r="N5" i="1"/>
  <c r="H5" i="1"/>
  <c r="H6" i="1" s="1"/>
  <c r="J4" i="1"/>
  <c r="K4" i="1" s="1"/>
  <c r="L4" i="1"/>
  <c r="M4" i="1" s="1"/>
  <c r="G5" i="1" s="1"/>
  <c r="J5" i="1" s="1"/>
  <c r="K5" i="1" s="1"/>
  <c r="C5" i="1"/>
  <c r="O4" i="1"/>
  <c r="H7" i="1"/>
  <c r="E7" i="1"/>
  <c r="N6" i="1"/>
  <c r="L5" i="1" l="1"/>
  <c r="M5" i="1" s="1"/>
  <c r="G6" i="1" s="1"/>
  <c r="L6" i="1" s="1"/>
  <c r="M6" i="1" s="1"/>
  <c r="G7" i="1" s="1"/>
  <c r="C6" i="1"/>
  <c r="O5" i="1"/>
  <c r="N7" i="1"/>
  <c r="E8" i="1"/>
  <c r="H8" i="1"/>
  <c r="H9" i="1" s="1"/>
  <c r="J6" i="1" l="1"/>
  <c r="K6" i="1" s="1"/>
  <c r="O6" i="1"/>
  <c r="C7" i="1"/>
  <c r="J7" i="1"/>
  <c r="K7" i="1" s="1"/>
  <c r="L7" i="1"/>
  <c r="M7" i="1" s="1"/>
  <c r="G8" i="1" s="1"/>
  <c r="N8" i="1"/>
  <c r="E9" i="1"/>
  <c r="O7" i="1" l="1"/>
  <c r="C8" i="1"/>
  <c r="J8" i="1"/>
  <c r="K8" i="1" s="1"/>
  <c r="L8" i="1"/>
  <c r="M8" i="1" s="1"/>
  <c r="G9" i="1" s="1"/>
  <c r="E10" i="1"/>
  <c r="N9" i="1"/>
  <c r="H10" i="1"/>
  <c r="H11" i="1" s="1"/>
  <c r="O8" i="1" l="1"/>
  <c r="C9" i="1"/>
  <c r="J9" i="1"/>
  <c r="K9" i="1" s="1"/>
  <c r="L9" i="1"/>
  <c r="M9" i="1" s="1"/>
  <c r="G10" i="1" s="1"/>
  <c r="E11" i="1"/>
  <c r="N10" i="1"/>
  <c r="O9" i="1" l="1"/>
  <c r="C10" i="1"/>
  <c r="N11" i="1"/>
  <c r="E12" i="1"/>
  <c r="H12" i="1"/>
  <c r="H13" i="1" s="1"/>
  <c r="J10" i="1"/>
  <c r="K10" i="1" s="1"/>
  <c r="L10" i="1"/>
  <c r="M10" i="1" s="1"/>
  <c r="G11" i="1" s="1"/>
  <c r="O10" i="1" l="1"/>
  <c r="C11" i="1"/>
  <c r="L11" i="1"/>
  <c r="J11" i="1"/>
  <c r="K11" i="1" s="1"/>
  <c r="N12" i="1"/>
  <c r="E13" i="1"/>
  <c r="M11" i="1" l="1"/>
  <c r="G12" i="1" s="1"/>
  <c r="O11" i="1"/>
  <c r="C12" i="1"/>
  <c r="J12" i="1"/>
  <c r="K12" i="1" s="1"/>
  <c r="L12" i="1"/>
  <c r="M12" i="1" s="1"/>
  <c r="G13" i="1" s="1"/>
  <c r="E14" i="1"/>
  <c r="N13" i="1"/>
  <c r="H14" i="1"/>
  <c r="H15" i="1" s="1"/>
  <c r="O12" i="1" l="1"/>
  <c r="C13" i="1"/>
  <c r="J13" i="1"/>
  <c r="K13" i="1" s="1"/>
  <c r="L13" i="1"/>
  <c r="M13" i="1" s="1"/>
  <c r="G14" i="1" s="1"/>
  <c r="N14" i="1"/>
  <c r="E15" i="1"/>
  <c r="H16" i="1"/>
  <c r="O13" i="1" l="1"/>
  <c r="C14" i="1"/>
  <c r="J14" i="1"/>
  <c r="K14" i="1" s="1"/>
  <c r="L14" i="1"/>
  <c r="M14" i="1" s="1"/>
  <c r="G15" i="1" s="1"/>
  <c r="E16" i="1"/>
  <c r="H17" i="1" s="1"/>
  <c r="N15" i="1"/>
  <c r="O14" i="1" l="1"/>
  <c r="C15" i="1"/>
  <c r="L15" i="1"/>
  <c r="M15" i="1" s="1"/>
  <c r="G16" i="1" s="1"/>
  <c r="J15" i="1"/>
  <c r="K15" i="1" s="1"/>
  <c r="N16" i="1"/>
  <c r="E17" i="1"/>
  <c r="O15" i="1" l="1"/>
  <c r="C16" i="1"/>
  <c r="N17" i="1"/>
  <c r="E18" i="1"/>
  <c r="J16" i="1"/>
  <c r="K16" i="1" s="1"/>
  <c r="L16" i="1"/>
  <c r="M16" i="1" s="1"/>
  <c r="G17" i="1" s="1"/>
  <c r="H18" i="1"/>
  <c r="H19" i="1" s="1"/>
  <c r="O16" i="1" l="1"/>
  <c r="C17" i="1"/>
  <c r="L17" i="1"/>
  <c r="M17" i="1" s="1"/>
  <c r="G18" i="1" s="1"/>
  <c r="J17" i="1"/>
  <c r="K17" i="1" s="1"/>
  <c r="E19" i="1"/>
  <c r="N18" i="1"/>
  <c r="O17" i="1" l="1"/>
  <c r="C18" i="1"/>
  <c r="J18" i="1"/>
  <c r="K18" i="1" s="1"/>
  <c r="L18" i="1"/>
  <c r="E20" i="1"/>
  <c r="N19" i="1"/>
  <c r="H20" i="1"/>
  <c r="H21" i="1" s="1"/>
  <c r="M18" i="1" l="1"/>
  <c r="G19" i="1" s="1"/>
  <c r="L19" i="1" s="1"/>
  <c r="O18" i="1"/>
  <c r="C19" i="1"/>
  <c r="J19" i="1"/>
  <c r="K19" i="1" s="1"/>
  <c r="N20" i="1"/>
  <c r="E21" i="1"/>
  <c r="M19" i="1" l="1"/>
  <c r="G20" i="1" s="1"/>
  <c r="O19" i="1"/>
  <c r="C20" i="1"/>
  <c r="L20" i="1"/>
  <c r="M20" i="1" s="1"/>
  <c r="G21" i="1" s="1"/>
  <c r="J20" i="1"/>
  <c r="K20" i="1" s="1"/>
  <c r="N21" i="1"/>
  <c r="E22" i="1"/>
  <c r="H22" i="1"/>
  <c r="H23" i="1" s="1"/>
  <c r="O20" i="1" l="1"/>
  <c r="C21" i="1"/>
  <c r="L21" i="1"/>
  <c r="M21" i="1" s="1"/>
  <c r="J21" i="1"/>
  <c r="K21" i="1" s="1"/>
  <c r="G22" i="1"/>
  <c r="N22" i="1"/>
  <c r="E23" i="1"/>
  <c r="O21" i="1" l="1"/>
  <c r="C22" i="1"/>
  <c r="E24" i="1"/>
  <c r="N23" i="1"/>
  <c r="H24" i="1"/>
  <c r="H25" i="1" s="1"/>
  <c r="J22" i="1"/>
  <c r="K22" i="1" s="1"/>
  <c r="L22" i="1"/>
  <c r="M22" i="1" s="1"/>
  <c r="G23" i="1" s="1"/>
  <c r="O22" i="1" l="1"/>
  <c r="C23" i="1"/>
  <c r="L23" i="1"/>
  <c r="M23" i="1" s="1"/>
  <c r="J23" i="1"/>
  <c r="K23" i="1" s="1"/>
  <c r="G24" i="1"/>
  <c r="N24" i="1"/>
  <c r="E25" i="1"/>
  <c r="O23" i="1" l="1"/>
  <c r="C24" i="1"/>
  <c r="N25" i="1"/>
  <c r="E26" i="1"/>
  <c r="H26" i="1"/>
  <c r="H27" i="1" s="1"/>
  <c r="L24" i="1"/>
  <c r="M24" i="1" s="1"/>
  <c r="G25" i="1" s="1"/>
  <c r="J24" i="1"/>
  <c r="K24" i="1" s="1"/>
  <c r="O24" i="1" l="1"/>
  <c r="C25" i="1"/>
  <c r="J25" i="1"/>
  <c r="K25" i="1" s="1"/>
  <c r="L25" i="1"/>
  <c r="M25" i="1" s="1"/>
  <c r="G26" i="1" s="1"/>
  <c r="E27" i="1"/>
  <c r="N26" i="1"/>
  <c r="O25" i="1" l="1"/>
  <c r="C26" i="1"/>
  <c r="J26" i="1"/>
  <c r="K26" i="1" s="1"/>
  <c r="L26" i="1"/>
  <c r="M26" i="1" s="1"/>
  <c r="G27" i="1" s="1"/>
  <c r="E28" i="1"/>
  <c r="N27" i="1"/>
  <c r="H28" i="1"/>
  <c r="H29" i="1" s="1"/>
  <c r="O26" i="1" l="1"/>
  <c r="C27" i="1"/>
  <c r="L27" i="1"/>
  <c r="M27" i="1" s="1"/>
  <c r="J27" i="1"/>
  <c r="K27" i="1" s="1"/>
  <c r="G28" i="1"/>
  <c r="N28" i="1"/>
  <c r="E29" i="1"/>
  <c r="O27" i="1" l="1"/>
  <c r="C28" i="1"/>
  <c r="N29" i="1"/>
  <c r="E30" i="1"/>
  <c r="H30" i="1"/>
  <c r="H31" i="1" s="1"/>
  <c r="L28" i="1"/>
  <c r="M28" i="1" s="1"/>
  <c r="G29" i="1" s="1"/>
  <c r="J28" i="1"/>
  <c r="K28" i="1" s="1"/>
  <c r="O28" i="1" l="1"/>
  <c r="C29" i="1"/>
  <c r="L29" i="1"/>
  <c r="M29" i="1" s="1"/>
  <c r="G30" i="1" s="1"/>
  <c r="J29" i="1"/>
  <c r="K29" i="1" s="1"/>
  <c r="N30" i="1"/>
  <c r="E31" i="1"/>
  <c r="O29" i="1" l="1"/>
  <c r="C30" i="1"/>
  <c r="E32" i="1"/>
  <c r="N31" i="1"/>
  <c r="H32" i="1"/>
  <c r="H33" i="1" s="1"/>
  <c r="J30" i="1"/>
  <c r="K30" i="1" s="1"/>
  <c r="L30" i="1"/>
  <c r="M30" i="1" s="1"/>
  <c r="G31" i="1" s="1"/>
  <c r="O30" i="1" l="1"/>
  <c r="C31" i="1"/>
  <c r="L31" i="1"/>
  <c r="M31" i="1" s="1"/>
  <c r="J31" i="1"/>
  <c r="K31" i="1" s="1"/>
  <c r="G32" i="1"/>
  <c r="N32" i="1"/>
  <c r="E33" i="1"/>
  <c r="O31" i="1" l="1"/>
  <c r="C32" i="1"/>
  <c r="E34" i="1"/>
  <c r="N33" i="1"/>
  <c r="H34" i="1"/>
  <c r="H35" i="1" s="1"/>
  <c r="L32" i="1"/>
  <c r="M32" i="1" s="1"/>
  <c r="G33" i="1" s="1"/>
  <c r="J32" i="1"/>
  <c r="K32" i="1" s="1"/>
  <c r="O32" i="1" l="1"/>
  <c r="C33" i="1"/>
  <c r="L33" i="1"/>
  <c r="M33" i="1" s="1"/>
  <c r="G34" i="1"/>
  <c r="J33" i="1"/>
  <c r="K33" i="1" s="1"/>
  <c r="E35" i="1"/>
  <c r="N34" i="1"/>
  <c r="O33" i="1" l="1"/>
  <c r="C34" i="1"/>
  <c r="J34" i="1"/>
  <c r="K34" i="1" s="1"/>
  <c r="L34" i="1"/>
  <c r="M34" i="1" s="1"/>
  <c r="G35" i="1" s="1"/>
  <c r="N35" i="1"/>
  <c r="E36" i="1"/>
  <c r="H36" i="1"/>
  <c r="H37" i="1" s="1"/>
  <c r="O34" i="1" l="1"/>
  <c r="C35" i="1"/>
  <c r="L35" i="1"/>
  <c r="M35" i="1" s="1"/>
  <c r="G36" i="1" s="1"/>
  <c r="J35" i="1"/>
  <c r="K35" i="1" s="1"/>
  <c r="E37" i="1"/>
  <c r="H38" i="1" s="1"/>
  <c r="N36" i="1"/>
  <c r="O35" i="1" l="1"/>
  <c r="C36" i="1"/>
  <c r="E38" i="1"/>
  <c r="N37" i="1"/>
  <c r="J36" i="1"/>
  <c r="K36" i="1" s="1"/>
  <c r="L36" i="1"/>
  <c r="M36" i="1" s="1"/>
  <c r="G37" i="1" s="1"/>
  <c r="O36" i="1" l="1"/>
  <c r="C37" i="1"/>
  <c r="L37" i="1"/>
  <c r="M37" i="1" s="1"/>
  <c r="J37" i="1"/>
  <c r="K37" i="1" s="1"/>
  <c r="G38" i="1"/>
  <c r="E39" i="1"/>
  <c r="N38" i="1"/>
  <c r="H39" i="1"/>
  <c r="O37" i="1" l="1"/>
  <c r="C38" i="1"/>
  <c r="H40" i="1"/>
  <c r="N39" i="1"/>
  <c r="E40" i="1"/>
  <c r="L38" i="1"/>
  <c r="M38" i="1" s="1"/>
  <c r="G39" i="1" s="1"/>
  <c r="J38" i="1"/>
  <c r="K38" i="1" s="1"/>
  <c r="O38" i="1" l="1"/>
  <c r="C39" i="1"/>
  <c r="L39" i="1"/>
  <c r="J39" i="1"/>
  <c r="K39" i="1" s="1"/>
  <c r="N40" i="1"/>
  <c r="E41" i="1"/>
  <c r="H41" i="1"/>
  <c r="H42" i="1" s="1"/>
  <c r="M39" i="1" l="1"/>
  <c r="G40" i="1" s="1"/>
  <c r="O39" i="1"/>
  <c r="C40" i="1"/>
  <c r="L40" i="1"/>
  <c r="J40" i="1"/>
  <c r="K40" i="1" s="1"/>
  <c r="E42" i="1"/>
  <c r="N41" i="1"/>
  <c r="M40" i="1" l="1"/>
  <c r="G41" i="1" s="1"/>
  <c r="O40" i="1"/>
  <c r="C41" i="1"/>
  <c r="E43" i="1"/>
  <c r="N42" i="1"/>
  <c r="H43" i="1"/>
  <c r="H44" i="1" s="1"/>
  <c r="J41" i="1"/>
  <c r="K41" i="1" s="1"/>
  <c r="L41" i="1"/>
  <c r="M41" i="1" s="1"/>
  <c r="G42" i="1" s="1"/>
  <c r="O41" i="1" l="1"/>
  <c r="C42" i="1"/>
  <c r="L42" i="1"/>
  <c r="M42" i="1" s="1"/>
  <c r="G43" i="1" s="1"/>
  <c r="J42" i="1"/>
  <c r="K42" i="1" s="1"/>
  <c r="N43" i="1"/>
  <c r="E44" i="1"/>
  <c r="H45" i="1" s="1"/>
  <c r="O42" i="1" l="1"/>
  <c r="C43" i="1"/>
  <c r="J43" i="1"/>
  <c r="K43" i="1" s="1"/>
  <c r="L43" i="1"/>
  <c r="M43" i="1" s="1"/>
  <c r="G44" i="1" s="1"/>
  <c r="E45" i="1"/>
  <c r="N44" i="1"/>
  <c r="O43" i="1" l="1"/>
  <c r="C44" i="1"/>
  <c r="J44" i="1"/>
  <c r="K44" i="1" s="1"/>
  <c r="L44" i="1"/>
  <c r="M44" i="1" s="1"/>
  <c r="G45" i="1" s="1"/>
  <c r="E46" i="1"/>
  <c r="N45" i="1"/>
  <c r="H46" i="1"/>
  <c r="H47" i="1" s="1"/>
  <c r="O44" i="1" l="1"/>
  <c r="C45" i="1"/>
  <c r="J45" i="1"/>
  <c r="K45" i="1" s="1"/>
  <c r="L45" i="1"/>
  <c r="M45" i="1" s="1"/>
  <c r="G46" i="1" s="1"/>
  <c r="E47" i="1"/>
  <c r="H48" i="1" s="1"/>
  <c r="N46" i="1"/>
  <c r="O45" i="1" l="1"/>
  <c r="C46" i="1"/>
  <c r="L46" i="1"/>
  <c r="M46" i="1" s="1"/>
  <c r="G47" i="1" s="1"/>
  <c r="J46" i="1"/>
  <c r="K46" i="1" s="1"/>
  <c r="N47" i="1"/>
  <c r="E48" i="1"/>
  <c r="O46" i="1" l="1"/>
  <c r="C47" i="1"/>
  <c r="J47" i="1"/>
  <c r="K47" i="1" s="1"/>
  <c r="L47" i="1"/>
  <c r="M47" i="1" s="1"/>
  <c r="G48" i="1" s="1"/>
  <c r="E49" i="1"/>
  <c r="N48" i="1"/>
  <c r="H49" i="1"/>
  <c r="H50" i="1" s="1"/>
  <c r="O47" i="1" l="1"/>
  <c r="C48" i="1"/>
  <c r="L48" i="1"/>
  <c r="M48" i="1" s="1"/>
  <c r="J48" i="1"/>
  <c r="K48" i="1" s="1"/>
  <c r="G49" i="1"/>
  <c r="E50" i="1"/>
  <c r="N49" i="1"/>
  <c r="O48" i="1" l="1"/>
  <c r="C49" i="1"/>
  <c r="E51" i="1"/>
  <c r="N50" i="1"/>
  <c r="H51" i="1"/>
  <c r="H52" i="1" s="1"/>
  <c r="J49" i="1"/>
  <c r="K49" i="1" s="1"/>
  <c r="L49" i="1"/>
  <c r="M49" i="1" s="1"/>
  <c r="G50" i="1" s="1"/>
  <c r="O49" i="1" l="1"/>
  <c r="C50" i="1"/>
  <c r="L50" i="1"/>
  <c r="M50" i="1" s="1"/>
  <c r="G51" i="1" s="1"/>
  <c r="J50" i="1"/>
  <c r="K50" i="1" s="1"/>
  <c r="N51" i="1"/>
  <c r="E52" i="1"/>
  <c r="O50" i="1" l="1"/>
  <c r="C51" i="1"/>
  <c r="L51" i="1"/>
  <c r="M51" i="1" s="1"/>
  <c r="G52" i="1" s="1"/>
  <c r="J51" i="1"/>
  <c r="K51" i="1" s="1"/>
  <c r="N52" i="1"/>
  <c r="E53" i="1"/>
  <c r="H53" i="1"/>
  <c r="H54" i="1" s="1"/>
  <c r="O51" i="1" l="1"/>
  <c r="C52" i="1"/>
  <c r="L52" i="1"/>
  <c r="M52" i="1" s="1"/>
  <c r="G53" i="1" s="1"/>
  <c r="J52" i="1"/>
  <c r="K52" i="1" s="1"/>
  <c r="N53" i="1"/>
  <c r="E54" i="1"/>
  <c r="H55" i="1"/>
  <c r="O52" i="1" l="1"/>
  <c r="C53" i="1"/>
  <c r="J53" i="1"/>
  <c r="K53" i="1" s="1"/>
  <c r="L53" i="1"/>
  <c r="M53" i="1" s="1"/>
  <c r="G54" i="1" s="1"/>
  <c r="E55" i="1"/>
  <c r="H56" i="1" s="1"/>
  <c r="N54" i="1"/>
  <c r="O53" i="1" l="1"/>
  <c r="C54" i="1"/>
  <c r="J54" i="1"/>
  <c r="K54" i="1" s="1"/>
  <c r="L54" i="1"/>
  <c r="M54" i="1" s="1"/>
  <c r="G55" i="1" s="1"/>
  <c r="E56" i="1"/>
  <c r="N55" i="1"/>
  <c r="O54" i="1" l="1"/>
  <c r="C55" i="1"/>
  <c r="L55" i="1"/>
  <c r="M55" i="1" s="1"/>
  <c r="J55" i="1"/>
  <c r="K55" i="1" s="1"/>
  <c r="G56" i="1"/>
  <c r="N56" i="1"/>
  <c r="E57" i="1"/>
  <c r="H57" i="1"/>
  <c r="O55" i="1" l="1"/>
  <c r="C56" i="1"/>
  <c r="H58" i="1"/>
  <c r="N57" i="1"/>
  <c r="E58" i="1"/>
  <c r="H59" i="1"/>
  <c r="L56" i="1"/>
  <c r="M56" i="1" s="1"/>
  <c r="G57" i="1" s="1"/>
  <c r="J56" i="1"/>
  <c r="K56" i="1" s="1"/>
  <c r="O56" i="1" l="1"/>
  <c r="C57" i="1"/>
  <c r="L57" i="1"/>
  <c r="M57" i="1" s="1"/>
  <c r="G58" i="1"/>
  <c r="J57" i="1"/>
  <c r="K57" i="1" s="1"/>
  <c r="N58" i="1"/>
  <c r="E59" i="1"/>
  <c r="O57" i="1" l="1"/>
  <c r="C58" i="1"/>
  <c r="J58" i="1"/>
  <c r="K58" i="1" s="1"/>
  <c r="L58" i="1"/>
  <c r="M58" i="1" s="1"/>
  <c r="G59" i="1" s="1"/>
  <c r="E60" i="1"/>
  <c r="N59" i="1"/>
  <c r="H60" i="1"/>
  <c r="O58" i="1" l="1"/>
  <c r="C59" i="1"/>
  <c r="H61" i="1"/>
  <c r="N60" i="1"/>
  <c r="E61" i="1"/>
  <c r="L59" i="1"/>
  <c r="M59" i="1" s="1"/>
  <c r="G60" i="1" s="1"/>
  <c r="J59" i="1"/>
  <c r="K59" i="1" s="1"/>
  <c r="O59" i="1" l="1"/>
  <c r="C60" i="1"/>
  <c r="L60" i="1"/>
  <c r="M60" i="1" s="1"/>
  <c r="G61" i="1" s="1"/>
  <c r="J60" i="1"/>
  <c r="K60" i="1" s="1"/>
  <c r="N61" i="1"/>
  <c r="E62" i="1"/>
  <c r="H62" i="1"/>
  <c r="H63" i="1" s="1"/>
  <c r="O60" i="1" l="1"/>
  <c r="C61" i="1"/>
  <c r="J61" i="1"/>
  <c r="K61" i="1" s="1"/>
  <c r="L61" i="1"/>
  <c r="M61" i="1" s="1"/>
  <c r="G62" i="1" s="1"/>
  <c r="E63" i="1"/>
  <c r="N62" i="1"/>
  <c r="O61" i="1" l="1"/>
  <c r="C62" i="1"/>
  <c r="J62" i="1"/>
  <c r="K62" i="1" s="1"/>
  <c r="L62" i="1"/>
  <c r="M62" i="1" s="1"/>
  <c r="G63" i="1" s="1"/>
  <c r="E64" i="1"/>
  <c r="N63" i="1"/>
  <c r="H64" i="1"/>
  <c r="H65" i="1" s="1"/>
  <c r="O62" i="1" l="1"/>
  <c r="C63" i="1"/>
  <c r="L63" i="1"/>
  <c r="M63" i="1" s="1"/>
  <c r="J63" i="1"/>
  <c r="K63" i="1" s="1"/>
  <c r="G64" i="1"/>
  <c r="N64" i="1"/>
  <c r="E65" i="1"/>
  <c r="O63" i="1" l="1"/>
  <c r="C64" i="1"/>
  <c r="N65" i="1"/>
  <c r="E66" i="1"/>
  <c r="H66" i="1"/>
  <c r="H67" i="1" s="1"/>
  <c r="L64" i="1"/>
  <c r="M64" i="1" s="1"/>
  <c r="G65" i="1" s="1"/>
  <c r="J64" i="1"/>
  <c r="K64" i="1" s="1"/>
  <c r="O64" i="1" l="1"/>
  <c r="C65" i="1"/>
  <c r="L65" i="1"/>
  <c r="M65" i="1" s="1"/>
  <c r="J65" i="1"/>
  <c r="K65" i="1" s="1"/>
  <c r="G66" i="1"/>
  <c r="N66" i="1"/>
  <c r="E67" i="1"/>
  <c r="O65" i="1" l="1"/>
  <c r="C66" i="1"/>
  <c r="E68" i="1"/>
  <c r="N67" i="1"/>
  <c r="H68" i="1"/>
  <c r="H69" i="1" s="1"/>
  <c r="J66" i="1"/>
  <c r="K66" i="1" s="1"/>
  <c r="L66" i="1"/>
  <c r="M66" i="1" s="1"/>
  <c r="G67" i="1" s="1"/>
  <c r="O66" i="1" l="1"/>
  <c r="C67" i="1"/>
  <c r="L67" i="1"/>
  <c r="M67" i="1" s="1"/>
  <c r="J67" i="1"/>
  <c r="K67" i="1" s="1"/>
  <c r="G68" i="1"/>
  <c r="N68" i="1"/>
  <c r="E69" i="1"/>
  <c r="O67" i="1" l="1"/>
  <c r="C68" i="1"/>
  <c r="N69" i="1"/>
  <c r="E70" i="1"/>
  <c r="H70" i="1"/>
  <c r="H71" i="1" s="1"/>
  <c r="L68" i="1"/>
  <c r="M68" i="1" s="1"/>
  <c r="G69" i="1" s="1"/>
  <c r="J68" i="1"/>
  <c r="K68" i="1" s="1"/>
  <c r="O68" i="1" l="1"/>
  <c r="C69" i="1"/>
  <c r="L69" i="1"/>
  <c r="M69" i="1" s="1"/>
  <c r="G70" i="1"/>
  <c r="J69" i="1"/>
  <c r="K69" i="1" s="1"/>
  <c r="E71" i="1"/>
  <c r="H72" i="1" s="1"/>
  <c r="N70" i="1"/>
  <c r="O69" i="1" l="1"/>
  <c r="C70" i="1"/>
  <c r="J70" i="1"/>
  <c r="K70" i="1" s="1"/>
  <c r="L70" i="1"/>
  <c r="M70" i="1" s="1"/>
  <c r="G71" i="1" s="1"/>
  <c r="E72" i="1"/>
  <c r="N71" i="1"/>
  <c r="O70" i="1" l="1"/>
  <c r="C71" i="1"/>
  <c r="L71" i="1"/>
  <c r="J71" i="1"/>
  <c r="K71" i="1" s="1"/>
  <c r="N72" i="1"/>
  <c r="E73" i="1"/>
  <c r="H73" i="1"/>
  <c r="M71" i="1" l="1"/>
  <c r="G72" i="1" s="1"/>
  <c r="O71" i="1"/>
  <c r="C72" i="1"/>
  <c r="H74" i="1"/>
  <c r="N73" i="1"/>
  <c r="E74" i="1"/>
  <c r="L72" i="1"/>
  <c r="M72" i="1" s="1"/>
  <c r="G73" i="1" s="1"/>
  <c r="J72" i="1"/>
  <c r="K72" i="1" s="1"/>
  <c r="O72" i="1" l="1"/>
  <c r="C73" i="1"/>
  <c r="J73" i="1"/>
  <c r="K73" i="1" s="1"/>
  <c r="L73" i="1"/>
  <c r="M73" i="1" s="1"/>
  <c r="G74" i="1" s="1"/>
  <c r="E75" i="1"/>
  <c r="N74" i="1"/>
  <c r="H75" i="1"/>
  <c r="H76" i="1" s="1"/>
  <c r="O73" i="1" l="1"/>
  <c r="C74" i="1"/>
  <c r="J74" i="1"/>
  <c r="K74" i="1" s="1"/>
  <c r="L74" i="1"/>
  <c r="M74" i="1" s="1"/>
  <c r="G75" i="1" s="1"/>
  <c r="E76" i="1"/>
  <c r="N75" i="1"/>
  <c r="O74" i="1" l="1"/>
  <c r="C75" i="1"/>
  <c r="N76" i="1"/>
  <c r="E77" i="1"/>
  <c r="H77" i="1"/>
  <c r="H78" i="1" s="1"/>
  <c r="L75" i="1"/>
  <c r="M75" i="1" s="1"/>
  <c r="G76" i="1" s="1"/>
  <c r="J75" i="1"/>
  <c r="K75" i="1" s="1"/>
  <c r="O75" i="1" l="1"/>
  <c r="C76" i="1"/>
  <c r="L76" i="1"/>
  <c r="M76" i="1" s="1"/>
  <c r="G77" i="1" s="1"/>
  <c r="J76" i="1"/>
  <c r="K76" i="1" s="1"/>
  <c r="N77" i="1"/>
  <c r="E78" i="1"/>
  <c r="O76" i="1" l="1"/>
  <c r="C77" i="1"/>
  <c r="L77" i="1"/>
  <c r="M77" i="1" s="1"/>
  <c r="J77" i="1"/>
  <c r="K77" i="1" s="1"/>
  <c r="G78" i="1"/>
  <c r="N78" i="1"/>
  <c r="E79" i="1"/>
  <c r="H79" i="1"/>
  <c r="O77" i="1" l="1"/>
  <c r="C78" i="1"/>
  <c r="H80" i="1"/>
  <c r="E80" i="1"/>
  <c r="N79" i="1"/>
  <c r="H81" i="1"/>
  <c r="J78" i="1"/>
  <c r="K78" i="1" s="1"/>
  <c r="L78" i="1"/>
  <c r="O78" i="1" l="1"/>
  <c r="C79" i="1"/>
  <c r="M78" i="1"/>
  <c r="G79" i="1" s="1"/>
  <c r="L79" i="1" s="1"/>
  <c r="M79" i="1" s="1"/>
  <c r="G80" i="1" s="1"/>
  <c r="J79" i="1"/>
  <c r="K79" i="1" s="1"/>
  <c r="N80" i="1"/>
  <c r="E81" i="1"/>
  <c r="O79" i="1" l="1"/>
  <c r="C80" i="1"/>
  <c r="N81" i="1"/>
  <c r="E82" i="1"/>
  <c r="H82" i="1"/>
  <c r="H83" i="1" s="1"/>
  <c r="L80" i="1"/>
  <c r="M80" i="1" s="1"/>
  <c r="G81" i="1" s="1"/>
  <c r="J80" i="1"/>
  <c r="K80" i="1" s="1"/>
  <c r="O80" i="1" l="1"/>
  <c r="C81" i="1"/>
  <c r="J81" i="1"/>
  <c r="K81" i="1" s="1"/>
  <c r="L81" i="1"/>
  <c r="M81" i="1" s="1"/>
  <c r="G82" i="1" s="1"/>
  <c r="E83" i="1"/>
  <c r="N82" i="1"/>
  <c r="O81" i="1" l="1"/>
  <c r="C82" i="1"/>
  <c r="J82" i="1"/>
  <c r="K82" i="1" s="1"/>
  <c r="L82" i="1"/>
  <c r="M82" i="1" s="1"/>
  <c r="G83" i="1" s="1"/>
  <c r="E84" i="1"/>
  <c r="N83" i="1"/>
  <c r="H84" i="1"/>
  <c r="H85" i="1" s="1"/>
  <c r="O82" i="1" l="1"/>
  <c r="C83" i="1"/>
  <c r="L83" i="1"/>
  <c r="M83" i="1" s="1"/>
  <c r="G84" i="1" s="1"/>
  <c r="J83" i="1"/>
  <c r="K83" i="1" s="1"/>
  <c r="N84" i="1"/>
  <c r="E85" i="1"/>
  <c r="H86" i="1" s="1"/>
  <c r="O83" i="1" l="1"/>
  <c r="C84" i="1"/>
  <c r="N85" i="1"/>
  <c r="E86" i="1"/>
  <c r="L84" i="1"/>
  <c r="M84" i="1" s="1"/>
  <c r="G85" i="1" s="1"/>
  <c r="J84" i="1"/>
  <c r="K84" i="1" s="1"/>
  <c r="O84" i="1" l="1"/>
  <c r="C85" i="1"/>
  <c r="L85" i="1"/>
  <c r="M85" i="1" s="1"/>
  <c r="G86" i="1" s="1"/>
  <c r="J85" i="1"/>
  <c r="K85" i="1" s="1"/>
  <c r="E87" i="1"/>
  <c r="N86" i="1"/>
  <c r="H87" i="1"/>
  <c r="H88" i="1" s="1"/>
  <c r="O85" i="1" l="1"/>
  <c r="C86" i="1"/>
  <c r="J86" i="1"/>
  <c r="K86" i="1" s="1"/>
  <c r="L86" i="1"/>
  <c r="M86" i="1" s="1"/>
  <c r="G87" i="1" s="1"/>
  <c r="E88" i="1"/>
  <c r="N87" i="1"/>
  <c r="O86" i="1" l="1"/>
  <c r="C87" i="1"/>
  <c r="N88" i="1"/>
  <c r="E89" i="1"/>
  <c r="H89" i="1"/>
  <c r="H90" i="1" s="1"/>
  <c r="L87" i="1"/>
  <c r="M87" i="1" s="1"/>
  <c r="G88" i="1" s="1"/>
  <c r="J87" i="1"/>
  <c r="K87" i="1" s="1"/>
  <c r="O87" i="1" l="1"/>
  <c r="C88" i="1"/>
  <c r="L88" i="1"/>
  <c r="M88" i="1" s="1"/>
  <c r="G89" i="1" s="1"/>
  <c r="J88" i="1"/>
  <c r="K88" i="1" s="1"/>
  <c r="N89" i="1"/>
  <c r="E90" i="1"/>
  <c r="O88" i="1" l="1"/>
  <c r="C89" i="1"/>
  <c r="L89" i="1"/>
  <c r="M89" i="1" s="1"/>
  <c r="G90" i="1" s="1"/>
  <c r="J89" i="1"/>
  <c r="K89" i="1" s="1"/>
  <c r="N90" i="1"/>
  <c r="E91" i="1"/>
  <c r="H91" i="1"/>
  <c r="H92" i="1" s="1"/>
  <c r="O89" i="1" l="1"/>
  <c r="C90" i="1"/>
  <c r="E92" i="1"/>
  <c r="N91" i="1"/>
  <c r="H93" i="1"/>
  <c r="J90" i="1"/>
  <c r="K90" i="1" s="1"/>
  <c r="L90" i="1"/>
  <c r="M90" i="1" s="1"/>
  <c r="G91" i="1" s="1"/>
  <c r="O90" i="1" l="1"/>
  <c r="C91" i="1"/>
  <c r="L91" i="1"/>
  <c r="M91" i="1" s="1"/>
  <c r="J91" i="1"/>
  <c r="K91" i="1" s="1"/>
  <c r="G92" i="1"/>
  <c r="N92" i="1"/>
  <c r="E93" i="1"/>
  <c r="O91" i="1" l="1"/>
  <c r="C92" i="1"/>
  <c r="N93" i="1"/>
  <c r="E94" i="1"/>
  <c r="H94" i="1"/>
  <c r="H95" i="1" s="1"/>
  <c r="L92" i="1"/>
  <c r="M92" i="1" s="1"/>
  <c r="G93" i="1" s="1"/>
  <c r="J92" i="1"/>
  <c r="K92" i="1" s="1"/>
  <c r="O92" i="1" l="1"/>
  <c r="C93" i="1"/>
  <c r="J93" i="1"/>
  <c r="K93" i="1" s="1"/>
  <c r="L93" i="1"/>
  <c r="M93" i="1" s="1"/>
  <c r="G94" i="1" s="1"/>
  <c r="E95" i="1"/>
  <c r="H96" i="1" s="1"/>
  <c r="N94" i="1"/>
  <c r="O93" i="1" l="1"/>
  <c r="C94" i="1"/>
  <c r="J94" i="1"/>
  <c r="K94" i="1" s="1"/>
  <c r="L94" i="1"/>
  <c r="M94" i="1" s="1"/>
  <c r="G95" i="1" s="1"/>
  <c r="E96" i="1"/>
  <c r="N95" i="1"/>
  <c r="O94" i="1" l="1"/>
  <c r="C95" i="1"/>
  <c r="L95" i="1"/>
  <c r="M95" i="1" s="1"/>
  <c r="J95" i="1"/>
  <c r="K95" i="1" s="1"/>
  <c r="G96" i="1"/>
  <c r="N96" i="1"/>
  <c r="E97" i="1"/>
  <c r="H97" i="1"/>
  <c r="O95" i="1" l="1"/>
  <c r="C96" i="1"/>
  <c r="H98" i="1"/>
  <c r="N97" i="1"/>
  <c r="E98" i="1"/>
  <c r="H99" i="1"/>
  <c r="L96" i="1"/>
  <c r="M96" i="1" s="1"/>
  <c r="G97" i="1" s="1"/>
  <c r="J96" i="1"/>
  <c r="K96" i="1" s="1"/>
  <c r="O96" i="1" l="1"/>
  <c r="C97" i="1"/>
  <c r="L97" i="1"/>
  <c r="M97" i="1" s="1"/>
  <c r="G98" i="1" s="1"/>
  <c r="J97" i="1"/>
  <c r="K97" i="1" s="1"/>
  <c r="E99" i="1"/>
  <c r="N98" i="1"/>
  <c r="O97" i="1" l="1"/>
  <c r="C98" i="1"/>
  <c r="J98" i="1"/>
  <c r="K98" i="1" s="1"/>
  <c r="L98" i="1"/>
  <c r="M98" i="1" s="1"/>
  <c r="G99" i="1" s="1"/>
  <c r="E100" i="1"/>
  <c r="N100" i="1" s="1"/>
  <c r="N99" i="1"/>
  <c r="H100" i="1"/>
  <c r="O98" i="1" l="1"/>
  <c r="C99" i="1"/>
  <c r="L99" i="1"/>
  <c r="M99" i="1" s="1"/>
  <c r="J99" i="1"/>
  <c r="K99" i="1" s="1"/>
  <c r="G100" i="1"/>
  <c r="O99" i="1" l="1"/>
  <c r="C100" i="1"/>
  <c r="O100" i="1" s="1"/>
  <c r="L100" i="1"/>
  <c r="M100" i="1" s="1"/>
  <c r="J100" i="1"/>
  <c r="K100" i="1" s="1"/>
</calcChain>
</file>

<file path=xl/sharedStrings.xml><?xml version="1.0" encoding="utf-8"?>
<sst xmlns="http://schemas.openxmlformats.org/spreadsheetml/2006/main" count="15" uniqueCount="15">
  <si>
    <t>Period</t>
  </si>
  <si>
    <t>alpha</t>
  </si>
  <si>
    <t>sI</t>
  </si>
  <si>
    <t>delta</t>
  </si>
  <si>
    <t>gA</t>
  </si>
  <si>
    <t>gL</t>
  </si>
  <si>
    <t>K</t>
  </si>
  <si>
    <t>A</t>
  </si>
  <si>
    <t>L</t>
  </si>
  <si>
    <t>GDP (Y)</t>
  </si>
  <si>
    <t>GDP pc (y)</t>
  </si>
  <si>
    <t>K/AL</t>
  </si>
  <si>
    <t>gK</t>
  </si>
  <si>
    <t>gA+gL</t>
  </si>
  <si>
    <t>K/AL*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</si>
</sst>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gK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Sheet1!$L$2:$L$100</c:f>
              <c:numCache>
                <c:formatCode>0.000</c:formatCode>
                <c:ptCount val="99"/>
                <c:pt idx="0">
                  <c:v>1</c:v>
                </c:pt>
                <c:pt idx="1">
                  <c:v>1.1162780704588713</c:v>
                </c:pt>
                <c:pt idx="2">
                  <c:v>1.2277435479256102</c:v>
                </c:pt>
                <c:pt idx="3">
                  <c:v>1.3343183296367833</c:v>
                </c:pt>
                <c:pt idx="4">
                  <c:v>1.4359932833555793</c:v>
                </c:pt>
                <c:pt idx="5">
                  <c:v>1.5328118000301669</c:v>
                </c:pt>
                <c:pt idx="6">
                  <c:v>1.6248569166079001</c:v>
                </c:pt>
                <c:pt idx="7">
                  <c:v>1.7122412364928465</c:v>
                </c:pt>
                <c:pt idx="8">
                  <c:v>1.7950990212078142</c:v>
                </c:pt>
                <c:pt idx="9">
                  <c:v>1.8735799687973447</c:v>
                </c:pt>
                <c:pt idx="10">
                  <c:v>1.9478443091542117</c:v>
                </c:pt>
                <c:pt idx="11">
                  <c:v>2.018058933956969</c:v>
                </c:pt>
                <c:pt idx="12">
                  <c:v>2.0843943445404118</c:v>
                </c:pt>
                <c:pt idx="13">
                  <c:v>2.1470222501452909</c:v>
                </c:pt>
                <c:pt idx="14">
                  <c:v>2.2061136859286923</c:v>
                </c:pt>
                <c:pt idx="15">
                  <c:v>2.2618375480960622</c:v>
                </c:pt>
                <c:pt idx="16">
                  <c:v>2.3143594648963299</c:v>
                </c:pt>
                <c:pt idx="17">
                  <c:v>2.3638409387065806</c:v>
                </c:pt>
                <c:pt idx="18">
                  <c:v>2.4104387072551998</c:v>
                </c:pt>
                <c:pt idx="19">
                  <c:v>2.4543042820896352</c:v>
                </c:pt>
                <c:pt idx="20">
                  <c:v>2.4955836303448837</c:v>
                </c:pt>
                <c:pt idx="21">
                  <c:v>2.5344169721983212</c:v>
                </c:pt>
                <c:pt idx="22">
                  <c:v>2.5709386714690026</c:v>
                </c:pt>
                <c:pt idx="23">
                  <c:v>2.6052772009090046</c:v>
                </c:pt>
                <c:pt idx="24">
                  <c:v>2.6375551670489412</c:v>
                </c:pt>
                <c:pt idx="25">
                  <c:v>2.6678893821593364</c:v>
                </c:pt>
                <c:pt idx="26">
                  <c:v>2.6963909730974631</c:v>
                </c:pt>
                <c:pt idx="27">
                  <c:v>2.7231655186220833</c:v>
                </c:pt>
                <c:pt idx="28">
                  <c:v>2.7483132082516915</c:v>
                </c:pt>
                <c:pt idx="29">
                  <c:v>2.7719290169753714</c:v>
                </c:pt>
                <c:pt idx="30">
                  <c:v>2.7941028911467707</c:v>
                </c:pt>
                <c:pt idx="31">
                  <c:v>2.8149199417391388</c:v>
                </c:pt>
                <c:pt idx="32">
                  <c:v>2.8344606418436378</c:v>
                </c:pt>
                <c:pt idx="33">
                  <c:v>2.8528010258790588</c:v>
                </c:pt>
                <c:pt idx="34">
                  <c:v>2.8700128884689784</c:v>
                </c:pt>
                <c:pt idx="35">
                  <c:v>2.8861639813487616</c:v>
                </c:pt>
                <c:pt idx="36">
                  <c:v>2.9013182070033379</c:v>
                </c:pt>
                <c:pt idx="37">
                  <c:v>2.915535808018463</c:v>
                </c:pt>
                <c:pt idx="38">
                  <c:v>2.9288735513625901</c:v>
                </c:pt>
                <c:pt idx="39">
                  <c:v>2.9413849070111264</c:v>
                </c:pt>
                <c:pt idx="40">
                  <c:v>2.9531202204861939</c:v>
                </c:pt>
                <c:pt idx="41">
                  <c:v>2.9641268790183792</c:v>
                </c:pt>
                <c:pt idx="42">
                  <c:v>2.9744494711467913</c:v>
                </c:pt>
                <c:pt idx="43">
                  <c:v>2.9841299396638412</c:v>
                </c:pt>
                <c:pt idx="44">
                  <c:v>2.9932077278846125</c:v>
                </c:pt>
                <c:pt idx="45">
                  <c:v>3.0017199192802066</c:v>
                </c:pt>
                <c:pt idx="46">
                  <c:v>3.0097013705621878</c:v>
                </c:pt>
                <c:pt idx="47">
                  <c:v>3.0171848383432018</c:v>
                </c:pt>
                <c:pt idx="48">
                  <c:v>3.0242010995284834</c:v>
                </c:pt>
                <c:pt idx="49">
                  <c:v>3.0307790656157039</c:v>
                </c:pt>
                <c:pt idx="50">
                  <c:v>3.0369458910976261</c:v>
                </c:pt>
                <c:pt idx="51">
                  <c:v>3.0427270761741654</c:v>
                </c:pt>
                <c:pt idx="52">
                  <c:v>3.0481465639886443</c:v>
                </c:pt>
                <c:pt idx="53">
                  <c:v>3.0532268326079239</c:v>
                </c:pt>
                <c:pt idx="54">
                  <c:v>3.057988981968228</c:v>
                </c:pt>
                <c:pt idx="55">
                  <c:v>3.0624528160084399</c:v>
                </c:pt>
                <c:pt idx="56">
                  <c:v>3.066636920210783</c:v>
                </c:pt>
                <c:pt idx="57">
                  <c:v>3.0705587347654895</c:v>
                </c:pt>
                <c:pt idx="58">
                  <c:v>3.0742346235716203</c:v>
                </c:pt>
                <c:pt idx="59">
                  <c:v>3.0776799392808099</c:v>
                </c:pt>
                <c:pt idx="60">
                  <c:v>3.0809090845847122</c:v>
                </c:pt>
                <c:pt idx="61">
                  <c:v>3.083935569940337</c:v>
                </c:pt>
                <c:pt idx="62">
                  <c:v>3.0867720679205615</c:v>
                </c:pt>
                <c:pt idx="63">
                  <c:v>3.0894304643699662</c:v>
                </c:pt>
                <c:pt idx="64">
                  <c:v>3.0919219065388228</c:v>
                </c:pt>
                <c:pt idx="65">
                  <c:v>3.0942568483607387</c:v>
                </c:pt>
                <c:pt idx="66">
                  <c:v>3.0964450930321337</c:v>
                </c:pt>
                <c:pt idx="67">
                  <c:v>3.0984958330444621</c:v>
                </c:pt>
                <c:pt idx="68">
                  <c:v>3.1004176878129583</c:v>
                </c:pt>
                <c:pt idx="69">
                  <c:v>3.1022187390386979</c:v>
                </c:pt>
                <c:pt idx="70">
                  <c:v>3.1039065639339691</c:v>
                </c:pt>
                <c:pt idx="71">
                  <c:v>3.1054882664343251</c:v>
                </c:pt>
                <c:pt idx="72">
                  <c:v>3.1069705065143398</c:v>
                </c:pt>
                <c:pt idx="73">
                  <c:v>3.1083595277178944</c:v>
                </c:pt>
                <c:pt idx="74">
                  <c:v>3.1096611830079328</c:v>
                </c:pt>
                <c:pt idx="75">
                  <c:v>3.1108809590349371</c:v>
                </c:pt>
                <c:pt idx="76">
                  <c:v>3.1120239989179361</c:v>
                </c:pt>
                <c:pt idx="77">
                  <c:v>3.11309512362666</c:v>
                </c:pt>
                <c:pt idx="78">
                  <c:v>3.1140988520485151</c:v>
                </c:pt>
                <c:pt idx="79">
                  <c:v>3.115039419819321</c:v>
                </c:pt>
                <c:pt idx="80">
                  <c:v>3.1159207969922456</c:v>
                </c:pt>
                <c:pt idx="81">
                  <c:v>3.1167467046151476</c:v>
                </c:pt>
                <c:pt idx="82">
                  <c:v>3.1175206302824265</c:v>
                </c:pt>
                <c:pt idx="83">
                  <c:v>3.1182458427236979</c:v>
                </c:pt>
                <c:pt idx="84">
                  <c:v>3.1189254054879187</c:v>
                </c:pt>
                <c:pt idx="85">
                  <c:v>3.1195621897781893</c:v>
                </c:pt>
                <c:pt idx="86">
                  <c:v>3.1201588864891563</c:v>
                </c:pt>
                <c:pt idx="87">
                  <c:v>3.1207180174958924</c:v>
                </c:pt>
                <c:pt idx="88">
                  <c:v>3.1212419462402052</c:v>
                </c:pt>
                <c:pt idx="89">
                  <c:v>3.1217328876575814</c:v>
                </c:pt>
                <c:pt idx="90">
                  <c:v>3.1221929174853695</c:v>
                </c:pt>
                <c:pt idx="91">
                  <c:v>3.1226239809903906</c:v>
                </c:pt>
                <c:pt idx="92">
                  <c:v>3.1230279011518216</c:v>
                </c:pt>
                <c:pt idx="93">
                  <c:v>3.123406386333047</c:v>
                </c:pt>
                <c:pt idx="94">
                  <c:v>3.1237610374741336</c:v>
                </c:pt>
                <c:pt idx="95">
                  <c:v>3.1240933548346335</c:v>
                </c:pt>
                <c:pt idx="96">
                  <c:v>3.1244047443146341</c:v>
                </c:pt>
                <c:pt idx="97">
                  <c:v>3.1246965233802424</c:v>
                </c:pt>
                <c:pt idx="98">
                  <c:v>3.1249699266181099</c:v>
                </c:pt>
              </c:numCache>
            </c:numRef>
          </c:xVal>
          <c:yVal>
            <c:numRef>
              <c:f>Sheet1!$M$2:$M$100</c:f>
              <c:numCache>
                <c:formatCode>0.000</c:formatCode>
                <c:ptCount val="99"/>
                <c:pt idx="0">
                  <c:v>0.15000000000000002</c:v>
                </c:pt>
                <c:pt idx="1">
                  <c:v>0.13517797072129906</c:v>
                </c:pt>
                <c:pt idx="2">
                  <c:v>0.1232425762186516</c:v>
                </c:pt>
                <c:pt idx="3">
                  <c:v>0.11343624634615927</c:v>
                </c:pt>
                <c:pt idx="4">
                  <c:v>0.10524703326825173</c:v>
                </c:pt>
                <c:pt idx="5">
                  <c:v>9.8315934032378663E-2</c:v>
                </c:pt>
                <c:pt idx="6">
                  <c:v>9.2383416372428181E-2</c:v>
                </c:pt>
                <c:pt idx="7">
                  <c:v>8.7257008477820738E-2</c:v>
                </c:pt>
                <c:pt idx="8">
                  <c:v>8.279083707626074E-2</c:v>
                </c:pt>
                <c:pt idx="9">
                  <c:v>7.8872256080916039E-2</c:v>
                </c:pt>
                <c:pt idx="10">
                  <c:v>7.5412847052032009E-2</c:v>
                </c:pt>
                <c:pt idx="11">
                  <c:v>7.234220517161552E-2</c:v>
                </c:pt>
                <c:pt idx="12">
                  <c:v>6.960355139042694E-2</c:v>
                </c:pt>
                <c:pt idx="13">
                  <c:v>6.7150572167674727E-2</c:v>
                </c:pt>
                <c:pt idx="14">
                  <c:v>6.4945102921157544E-2</c:v>
                </c:pt>
                <c:pt idx="15">
                  <c:v>6.2955402925989445E-2</c:v>
                </c:pt>
                <c:pt idx="16">
                  <c:v>6.1154852245973723E-2</c:v>
                </c:pt>
                <c:pt idx="17">
                  <c:v>5.9520954672424867E-2</c:v>
                </c:pt>
                <c:pt idx="18">
                  <c:v>5.803456579215148E-2</c:v>
                </c:pt>
                <c:pt idx="19">
                  <c:v>5.6679288892766549E-2</c:v>
                </c:pt>
                <c:pt idx="20">
                  <c:v>5.544099752145959E-2</c:v>
                </c:pt>
                <c:pt idx="21">
                  <c:v>5.4307454691466875E-2</c:v>
                </c:pt>
                <c:pt idx="22">
                  <c:v>5.3268006602272031E-2</c:v>
                </c:pt>
                <c:pt idx="23">
                  <c:v>5.2313334358522479E-2</c:v>
                </c:pt>
                <c:pt idx="24">
                  <c:v>5.1435251233978893E-2</c:v>
                </c:pt>
                <c:pt idx="25">
                  <c:v>5.0626535996546859E-2</c:v>
                </c:pt>
                <c:pt idx="26">
                  <c:v>4.988079500551755E-2</c:v>
                </c:pt>
                <c:pt idx="27">
                  <c:v>4.9192347431023006E-2</c:v>
                </c:pt>
                <c:pt idx="28">
                  <c:v>4.8556129180879856E-2</c:v>
                </c:pt>
                <c:pt idx="29">
                  <c:v>4.7967612059127265E-2</c:v>
                </c:pt>
                <c:pt idx="30">
                  <c:v>4.742273540053471E-2</c:v>
                </c:pt>
                <c:pt idx="31">
                  <c:v>4.6917847981616051E-2</c:v>
                </c:pt>
                <c:pt idx="32">
                  <c:v>4.6449658441619066E-2</c:v>
                </c:pt>
                <c:pt idx="33">
                  <c:v>4.6015192786244483E-2</c:v>
                </c:pt>
                <c:pt idx="34">
                  <c:v>4.5611757814484608E-2</c:v>
                </c:pt>
                <c:pt idx="35">
                  <c:v>4.5236909521400845E-2</c:v>
                </c:pt>
                <c:pt idx="36">
                  <c:v>4.4888425699258147E-2</c:v>
                </c:pt>
                <c:pt idx="37">
                  <c:v>4.456428209559915E-2</c:v>
                </c:pt>
                <c:pt idx="38">
                  <c:v>4.4262631596736754E-2</c:v>
                </c:pt>
                <c:pt idx="39">
                  <c:v>4.3981785994291617E-2</c:v>
                </c:pt>
                <c:pt idx="40">
                  <c:v>4.3720199965063808E-2</c:v>
                </c:pt>
                <c:pt idx="41">
                  <c:v>4.3476456954024315E-2</c:v>
                </c:pt>
                <c:pt idx="42">
                  <c:v>4.3249256699144326E-2</c:v>
                </c:pt>
                <c:pt idx="43">
                  <c:v>4.3037404177190181E-2</c:v>
                </c:pt>
                <c:pt idx="44">
                  <c:v>4.2839799783118235E-2</c:v>
                </c:pt>
                <c:pt idx="45">
                  <c:v>4.2655430583593085E-2</c:v>
                </c:pt>
                <c:pt idx="46">
                  <c:v>4.248336250845125E-2</c:v>
                </c:pt>
                <c:pt idx="47">
                  <c:v>4.2322733363463802E-2</c:v>
                </c:pt>
                <c:pt idx="48">
                  <c:v>4.2172746564183114E-2</c:v>
                </c:pt>
                <c:pt idx="49">
                  <c:v>4.2032665504524488E-2</c:v>
                </c:pt>
                <c:pt idx="50">
                  <c:v>4.1901808485471356E-2</c:v>
                </c:pt>
                <c:pt idx="51">
                  <c:v>4.1779544139262839E-2</c:v>
                </c:pt>
                <c:pt idx="52">
                  <c:v>4.166528729290879E-2</c:v>
                </c:pt>
                <c:pt idx="53">
                  <c:v>4.1558495222128386E-2</c:v>
                </c:pt>
                <c:pt idx="54">
                  <c:v>4.145866425301635E-2</c:v>
                </c:pt>
                <c:pt idx="55">
                  <c:v>4.1365326674069933E-2</c:v>
                </c:pt>
                <c:pt idx="56">
                  <c:v>4.1278047925799255E-2</c:v>
                </c:pt>
                <c:pt idx="57">
                  <c:v>4.1196424039101245E-2</c:v>
                </c:pt>
                <c:pt idx="58">
                  <c:v>4.1120079297002926E-2</c:v>
                </c:pt>
                <c:pt idx="59">
                  <c:v>4.1048664097348461E-2</c:v>
                </c:pt>
                <c:pt idx="60">
                  <c:v>4.0981852996584203E-2</c:v>
                </c:pt>
                <c:pt idx="61">
                  <c:v>4.0919342917043369E-2</c:v>
                </c:pt>
                <c:pt idx="62">
                  <c:v>4.0860851502092718E-2</c:v>
                </c:pt>
                <c:pt idx="63">
                  <c:v>4.080611560521881E-2</c:v>
                </c:pt>
                <c:pt idx="64">
                  <c:v>4.075488990063493E-2</c:v>
                </c:pt>
                <c:pt idx="65">
                  <c:v>4.0706945604309902E-2</c:v>
                </c:pt>
                <c:pt idx="66">
                  <c:v>4.0662069295481204E-2</c:v>
                </c:pt>
                <c:pt idx="67">
                  <c:v>4.0620061829739984E-2</c:v>
                </c:pt>
                <c:pt idx="68">
                  <c:v>4.0580737335679032E-2</c:v>
                </c:pt>
                <c:pt idx="69">
                  <c:v>4.0543922287896592E-2</c:v>
                </c:pt>
                <c:pt idx="70">
                  <c:v>4.0509454649857585E-2</c:v>
                </c:pt>
                <c:pt idx="71">
                  <c:v>4.0477183080745716E-2</c:v>
                </c:pt>
                <c:pt idx="72">
                  <c:v>4.0446966200999232E-2</c:v>
                </c:pt>
                <c:pt idx="73">
                  <c:v>4.0418671911724532E-2</c:v>
                </c:pt>
                <c:pt idx="74">
                  <c:v>4.039217676362776E-2</c:v>
                </c:pt>
                <c:pt idx="75">
                  <c:v>4.0367365371503303E-2</c:v>
                </c:pt>
                <c:pt idx="76">
                  <c:v>4.0344129870676745E-2</c:v>
                </c:pt>
                <c:pt idx="77">
                  <c:v>4.0322369412120126E-2</c:v>
                </c:pt>
                <c:pt idx="78">
                  <c:v>4.0301989693245846E-2</c:v>
                </c:pt>
                <c:pt idx="79">
                  <c:v>4.0282902521645236E-2</c:v>
                </c:pt>
                <c:pt idx="80">
                  <c:v>4.0265025409272348E-2</c:v>
                </c:pt>
                <c:pt idx="81">
                  <c:v>4.0248281194783728E-2</c:v>
                </c:pt>
                <c:pt idx="82">
                  <c:v>4.0232597691937252E-2</c:v>
                </c:pt>
                <c:pt idx="83">
                  <c:v>4.0217907362125119E-2</c:v>
                </c:pt>
                <c:pt idx="84">
                  <c:v>4.0204147009273758E-2</c:v>
                </c:pt>
                <c:pt idx="85">
                  <c:v>4.0191257495484967E-2</c:v>
                </c:pt>
                <c:pt idx="86">
                  <c:v>4.0179183475923114E-2</c:v>
                </c:pt>
                <c:pt idx="87">
                  <c:v>4.0167873151570291E-2</c:v>
                </c:pt>
                <c:pt idx="88">
                  <c:v>4.0157278038579297E-2</c:v>
                </c:pt>
                <c:pt idx="89">
                  <c:v>4.0147352753052132E-2</c:v>
                </c:pt>
                <c:pt idx="90">
                  <c:v>4.0138054810161528E-2</c:v>
                </c:pt>
                <c:pt idx="91">
                  <c:v>4.0129344436614867E-2</c:v>
                </c:pt>
                <c:pt idx="92">
                  <c:v>4.012118439553497E-2</c:v>
                </c:pt>
                <c:pt idx="93">
                  <c:v>4.0113539822901459E-2</c:v>
                </c:pt>
                <c:pt idx="94">
                  <c:v>4.0106378074758739E-2</c:v>
                </c:pt>
                <c:pt idx="95">
                  <c:v>4.0099668584455628E-2</c:v>
                </c:pt>
                <c:pt idx="96">
                  <c:v>4.0093382729234545E-2</c:v>
                </c:pt>
                <c:pt idx="97">
                  <c:v>4.0087493705537575E-2</c:v>
                </c:pt>
                <c:pt idx="98">
                  <c:v>4.008197641244142E-2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33-D748-91E9-A5FB66B5BC93}"/>
            </c:ext>
          </c:extLst>
        </c:ser>
        <c:ser>
          <c:idx val="1"/>
          <c:order val="1"/>
          <c:tx>
            <c:strRef>
              <c:f>Sheet1!$N$1</c:f>
              <c:strCache>
                <c:ptCount val="1"/>
                <c:pt idx="0">
                  <c:v>gA+gL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Sheet1!$L$2:$L$100</c:f>
              <c:numCache>
                <c:formatCode>0.000</c:formatCode>
                <c:ptCount val="99"/>
                <c:pt idx="0">
                  <c:v>1</c:v>
                </c:pt>
                <c:pt idx="1">
                  <c:v>1.1162780704588713</c:v>
                </c:pt>
                <c:pt idx="2">
                  <c:v>1.2277435479256102</c:v>
                </c:pt>
                <c:pt idx="3">
                  <c:v>1.3343183296367833</c:v>
                </c:pt>
                <c:pt idx="4">
                  <c:v>1.4359932833555793</c:v>
                </c:pt>
                <c:pt idx="5">
                  <c:v>1.5328118000301669</c:v>
                </c:pt>
                <c:pt idx="6">
                  <c:v>1.6248569166079001</c:v>
                </c:pt>
                <c:pt idx="7">
                  <c:v>1.7122412364928465</c:v>
                </c:pt>
                <c:pt idx="8">
                  <c:v>1.7950990212078142</c:v>
                </c:pt>
                <c:pt idx="9">
                  <c:v>1.8735799687973447</c:v>
                </c:pt>
                <c:pt idx="10">
                  <c:v>1.9478443091542117</c:v>
                </c:pt>
                <c:pt idx="11">
                  <c:v>2.018058933956969</c:v>
                </c:pt>
                <c:pt idx="12">
                  <c:v>2.0843943445404118</c:v>
                </c:pt>
                <c:pt idx="13">
                  <c:v>2.1470222501452909</c:v>
                </c:pt>
                <c:pt idx="14">
                  <c:v>2.2061136859286923</c:v>
                </c:pt>
                <c:pt idx="15">
                  <c:v>2.2618375480960622</c:v>
                </c:pt>
                <c:pt idx="16">
                  <c:v>2.3143594648963299</c:v>
                </c:pt>
                <c:pt idx="17">
                  <c:v>2.3638409387065806</c:v>
                </c:pt>
                <c:pt idx="18">
                  <c:v>2.4104387072551998</c:v>
                </c:pt>
                <c:pt idx="19">
                  <c:v>2.4543042820896352</c:v>
                </c:pt>
                <c:pt idx="20">
                  <c:v>2.4955836303448837</c:v>
                </c:pt>
                <c:pt idx="21">
                  <c:v>2.5344169721983212</c:v>
                </c:pt>
                <c:pt idx="22">
                  <c:v>2.5709386714690026</c:v>
                </c:pt>
                <c:pt idx="23">
                  <c:v>2.6052772009090046</c:v>
                </c:pt>
                <c:pt idx="24">
                  <c:v>2.6375551670489412</c:v>
                </c:pt>
                <c:pt idx="25">
                  <c:v>2.6678893821593364</c:v>
                </c:pt>
                <c:pt idx="26">
                  <c:v>2.6963909730974631</c:v>
                </c:pt>
                <c:pt idx="27">
                  <c:v>2.7231655186220833</c:v>
                </c:pt>
                <c:pt idx="28">
                  <c:v>2.7483132082516915</c:v>
                </c:pt>
                <c:pt idx="29">
                  <c:v>2.7719290169753714</c:v>
                </c:pt>
                <c:pt idx="30">
                  <c:v>2.7941028911467707</c:v>
                </c:pt>
                <c:pt idx="31">
                  <c:v>2.8149199417391388</c:v>
                </c:pt>
                <c:pt idx="32">
                  <c:v>2.8344606418436378</c:v>
                </c:pt>
                <c:pt idx="33">
                  <c:v>2.8528010258790588</c:v>
                </c:pt>
                <c:pt idx="34">
                  <c:v>2.8700128884689784</c:v>
                </c:pt>
                <c:pt idx="35">
                  <c:v>2.8861639813487616</c:v>
                </c:pt>
                <c:pt idx="36">
                  <c:v>2.9013182070033379</c:v>
                </c:pt>
                <c:pt idx="37">
                  <c:v>2.915535808018463</c:v>
                </c:pt>
                <c:pt idx="38">
                  <c:v>2.9288735513625901</c:v>
                </c:pt>
                <c:pt idx="39">
                  <c:v>2.9413849070111264</c:v>
                </c:pt>
                <c:pt idx="40">
                  <c:v>2.9531202204861939</c:v>
                </c:pt>
                <c:pt idx="41">
                  <c:v>2.9641268790183792</c:v>
                </c:pt>
                <c:pt idx="42">
                  <c:v>2.9744494711467913</c:v>
                </c:pt>
                <c:pt idx="43">
                  <c:v>2.9841299396638412</c:v>
                </c:pt>
                <c:pt idx="44">
                  <c:v>2.9932077278846125</c:v>
                </c:pt>
                <c:pt idx="45">
                  <c:v>3.0017199192802066</c:v>
                </c:pt>
                <c:pt idx="46">
                  <c:v>3.0097013705621878</c:v>
                </c:pt>
                <c:pt idx="47">
                  <c:v>3.0171848383432018</c:v>
                </c:pt>
                <c:pt idx="48">
                  <c:v>3.0242010995284834</c:v>
                </c:pt>
                <c:pt idx="49">
                  <c:v>3.0307790656157039</c:v>
                </c:pt>
                <c:pt idx="50">
                  <c:v>3.0369458910976261</c:v>
                </c:pt>
                <c:pt idx="51">
                  <c:v>3.0427270761741654</c:v>
                </c:pt>
                <c:pt idx="52">
                  <c:v>3.0481465639886443</c:v>
                </c:pt>
                <c:pt idx="53">
                  <c:v>3.0532268326079239</c:v>
                </c:pt>
                <c:pt idx="54">
                  <c:v>3.057988981968228</c:v>
                </c:pt>
                <c:pt idx="55">
                  <c:v>3.0624528160084399</c:v>
                </c:pt>
                <c:pt idx="56">
                  <c:v>3.066636920210783</c:v>
                </c:pt>
                <c:pt idx="57">
                  <c:v>3.0705587347654895</c:v>
                </c:pt>
                <c:pt idx="58">
                  <c:v>3.0742346235716203</c:v>
                </c:pt>
                <c:pt idx="59">
                  <c:v>3.0776799392808099</c:v>
                </c:pt>
                <c:pt idx="60">
                  <c:v>3.0809090845847122</c:v>
                </c:pt>
                <c:pt idx="61">
                  <c:v>3.083935569940337</c:v>
                </c:pt>
                <c:pt idx="62">
                  <c:v>3.0867720679205615</c:v>
                </c:pt>
                <c:pt idx="63">
                  <c:v>3.0894304643699662</c:v>
                </c:pt>
                <c:pt idx="64">
                  <c:v>3.0919219065388228</c:v>
                </c:pt>
                <c:pt idx="65">
                  <c:v>3.0942568483607387</c:v>
                </c:pt>
                <c:pt idx="66">
                  <c:v>3.0964450930321337</c:v>
                </c:pt>
                <c:pt idx="67">
                  <c:v>3.0984958330444621</c:v>
                </c:pt>
                <c:pt idx="68">
                  <c:v>3.1004176878129583</c:v>
                </c:pt>
                <c:pt idx="69">
                  <c:v>3.1022187390386979</c:v>
                </c:pt>
                <c:pt idx="70">
                  <c:v>3.1039065639339691</c:v>
                </c:pt>
                <c:pt idx="71">
                  <c:v>3.1054882664343251</c:v>
                </c:pt>
                <c:pt idx="72">
                  <c:v>3.1069705065143398</c:v>
                </c:pt>
                <c:pt idx="73">
                  <c:v>3.1083595277178944</c:v>
                </c:pt>
                <c:pt idx="74">
                  <c:v>3.1096611830079328</c:v>
                </c:pt>
                <c:pt idx="75">
                  <c:v>3.1108809590349371</c:v>
                </c:pt>
                <c:pt idx="76">
                  <c:v>3.1120239989179361</c:v>
                </c:pt>
                <c:pt idx="77">
                  <c:v>3.11309512362666</c:v>
                </c:pt>
                <c:pt idx="78">
                  <c:v>3.1140988520485151</c:v>
                </c:pt>
                <c:pt idx="79">
                  <c:v>3.115039419819321</c:v>
                </c:pt>
                <c:pt idx="80">
                  <c:v>3.1159207969922456</c:v>
                </c:pt>
                <c:pt idx="81">
                  <c:v>3.1167467046151476</c:v>
                </c:pt>
                <c:pt idx="82">
                  <c:v>3.1175206302824265</c:v>
                </c:pt>
                <c:pt idx="83">
                  <c:v>3.1182458427236979</c:v>
                </c:pt>
                <c:pt idx="84">
                  <c:v>3.1189254054879187</c:v>
                </c:pt>
                <c:pt idx="85">
                  <c:v>3.1195621897781893</c:v>
                </c:pt>
                <c:pt idx="86">
                  <c:v>3.1201588864891563</c:v>
                </c:pt>
                <c:pt idx="87">
                  <c:v>3.1207180174958924</c:v>
                </c:pt>
                <c:pt idx="88">
                  <c:v>3.1212419462402052</c:v>
                </c:pt>
                <c:pt idx="89">
                  <c:v>3.1217328876575814</c:v>
                </c:pt>
                <c:pt idx="90">
                  <c:v>3.1221929174853695</c:v>
                </c:pt>
                <c:pt idx="91">
                  <c:v>3.1226239809903906</c:v>
                </c:pt>
                <c:pt idx="92">
                  <c:v>3.1230279011518216</c:v>
                </c:pt>
                <c:pt idx="93">
                  <c:v>3.123406386333047</c:v>
                </c:pt>
                <c:pt idx="94">
                  <c:v>3.1237610374741336</c:v>
                </c:pt>
                <c:pt idx="95">
                  <c:v>3.1240933548346335</c:v>
                </c:pt>
                <c:pt idx="96">
                  <c:v>3.1244047443146341</c:v>
                </c:pt>
                <c:pt idx="97">
                  <c:v>3.1246965233802424</c:v>
                </c:pt>
                <c:pt idx="98">
                  <c:v>3.1249699266181099</c:v>
                </c:pt>
              </c:numCache>
            </c:numRef>
          </c:xVal>
          <c:yVal>
            <c:numRef>
              <c:f>Sheet1!$N$2:$N$100</c:f>
              <c:numCache>
                <c:formatCode>General</c:formatCode>
                <c:ptCount val="99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0.04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0.04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0.04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0.04</c:v>
                </c:pt>
                <c:pt idx="76">
                  <c:v>0.04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0.04</c:v>
                </c:pt>
                <c:pt idx="81">
                  <c:v>0.04</c:v>
                </c:pt>
                <c:pt idx="82">
                  <c:v>0.04</c:v>
                </c:pt>
                <c:pt idx="83">
                  <c:v>0.04</c:v>
                </c:pt>
                <c:pt idx="84">
                  <c:v>0.04</c:v>
                </c:pt>
                <c:pt idx="85">
                  <c:v>0.04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0.04</c:v>
                </c:pt>
                <c:pt idx="90">
                  <c:v>0.04</c:v>
                </c:pt>
                <c:pt idx="91">
                  <c:v>0.04</c:v>
                </c:pt>
                <c:pt idx="92">
                  <c:v>0.04</c:v>
                </c:pt>
                <c:pt idx="93">
                  <c:v>0.04</c:v>
                </c:pt>
                <c:pt idx="94">
                  <c:v>0.04</c:v>
                </c:pt>
                <c:pt idx="95">
                  <c:v>0.04</c:v>
                </c:pt>
                <c:pt idx="96">
                  <c:v>0.04</c:v>
                </c:pt>
                <c:pt idx="97">
                  <c:v>0.04</c:v>
                </c:pt>
                <c:pt idx="98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33-D748-91E9-A5FB66B5B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007488"/>
        <c:axId val="1461005696"/>
      </c:scatterChart>
      <c:valAx>
        <c:axId val="146100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005696"/>
        <c:crosses val="autoZero"/>
        <c:crossBetween val="midCat"/>
      </c:valAx>
      <c:valAx>
        <c:axId val="14610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00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217557</xdr:colOff>
      <xdr:row>0</xdr:row>
      <xdr:rowOff>222033</xdr:rowOff>
    </xdr:from>
    <xdr:to>
      <xdr:col>28</xdr:col>
      <xdr:colOff>761999</xdr:colOff>
      <xdr:row>21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3B3F1-AB30-C7F2-3100-18A8B7080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9C0C-5607-6F40-A8D5-3F022AA0A064}">
  <dimension ref="A1:O100"/>
  <sheetViews>
    <sheetView tabSelected="1" zoomScale="110" zoomScaleNormal="110" workbookViewId="0">
      <selection activeCell="Q7" sqref="Q7"/>
    </sheetView>
  </sheetViews>
  <sheetFormatPr baseColWidth="10" defaultRowHeight="19" x14ac:dyDescent="0.25"/>
  <cols>
    <col min="1" max="6" width="10.83203125" style="1"/>
    <col min="7" max="13" width="10.83203125" style="2"/>
    <col min="14" max="16384" width="10.832031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 spans="1:15" x14ac:dyDescent="0.25">
      <c r="A2" s="1">
        <v>0</v>
      </c>
      <c r="B2" s="1">
        <v>0.3</v>
      </c>
      <c r="C2" s="1">
        <v>0.2</v>
      </c>
      <c r="D2" s="1">
        <v>0.05</v>
      </c>
      <c r="E2" s="1">
        <v>0.03</v>
      </c>
      <c r="F2" s="1">
        <v>0.01</v>
      </c>
      <c r="G2" s="2">
        <v>1</v>
      </c>
      <c r="H2" s="2">
        <v>1</v>
      </c>
      <c r="I2" s="2">
        <v>1</v>
      </c>
      <c r="J2" s="2">
        <f>G2^B2*(H2*I2)^(1-B2)</f>
        <v>1</v>
      </c>
      <c r="K2" s="2">
        <f>J2/I2</f>
        <v>1</v>
      </c>
      <c r="L2" s="2">
        <f>G2/(H2*I2)</f>
        <v>1</v>
      </c>
      <c r="M2" s="2">
        <f>C2*(1/L2)^(1-B2)-D2</f>
        <v>0.15000000000000002</v>
      </c>
      <c r="N2" s="1">
        <f>E2+F2</f>
        <v>0.04</v>
      </c>
      <c r="O2" s="1">
        <f>(C2/(E2+F2+D2))^(1/(1-B2))</f>
        <v>3.1290369713070327</v>
      </c>
    </row>
    <row r="3" spans="1:15" x14ac:dyDescent="0.25">
      <c r="A3" s="1">
        <f>A2+1</f>
        <v>1</v>
      </c>
      <c r="B3" s="1">
        <f>B2</f>
        <v>0.3</v>
      </c>
      <c r="C3" s="1">
        <f>C2</f>
        <v>0.2</v>
      </c>
      <c r="D3" s="1">
        <f>D2</f>
        <v>0.05</v>
      </c>
      <c r="E3" s="1">
        <f>E2</f>
        <v>0.03</v>
      </c>
      <c r="F3" s="1">
        <f>F2</f>
        <v>0.01</v>
      </c>
      <c r="G3" s="2">
        <f>G2*EXP(M2)</f>
        <v>1.1618342427282831</v>
      </c>
      <c r="H3" s="2">
        <f>H2*EXP(E2)</f>
        <v>1.0304545339535169</v>
      </c>
      <c r="I3" s="2">
        <f>I2*EXP(F2)</f>
        <v>1.0100501670841679</v>
      </c>
      <c r="J3" s="2">
        <f>G3^B3*(H3*I3)^(1-B3)</f>
        <v>1.0757305369147034</v>
      </c>
      <c r="K3" s="2">
        <f>J3/I3</f>
        <v>1.0650268392313056</v>
      </c>
      <c r="L3" s="2">
        <f>G3/(H3*I3)</f>
        <v>1.1162780704588713</v>
      </c>
      <c r="M3" s="2">
        <f>C3*(1/L3)^(1-B3)-D3</f>
        <v>0.13517797072129906</v>
      </c>
      <c r="N3" s="1">
        <f>E3+F3</f>
        <v>0.04</v>
      </c>
      <c r="O3" s="1">
        <f t="shared" ref="O3:O66" si="0">(C3/(E3+F3+D3))^(1/(1-B3))</f>
        <v>3.1290369713070327</v>
      </c>
    </row>
    <row r="4" spans="1:15" x14ac:dyDescent="0.25">
      <c r="A4" s="1">
        <f t="shared" ref="A4:A67" si="1">A3+1</f>
        <v>2</v>
      </c>
      <c r="B4" s="1">
        <f t="shared" ref="B4:B67" si="2">B3</f>
        <v>0.3</v>
      </c>
      <c r="C4" s="1">
        <f t="shared" ref="C4:C67" si="3">C3</f>
        <v>0.2</v>
      </c>
      <c r="D4" s="1">
        <f t="shared" ref="D4:D67" si="4">D3</f>
        <v>0.05</v>
      </c>
      <c r="E4" s="1">
        <f t="shared" ref="E4:E67" si="5">E3</f>
        <v>0.03</v>
      </c>
      <c r="F4" s="1">
        <f t="shared" ref="F4:F67" si="6">F3</f>
        <v>0.01</v>
      </c>
      <c r="G4" s="2">
        <f t="shared" ref="G4:G67" si="7">G3*EXP(M3)</f>
        <v>1.3299987078891844</v>
      </c>
      <c r="H4" s="2">
        <f t="shared" ref="H4:H67" si="8">H3*EXP(E3)</f>
        <v>1.0618365465453599</v>
      </c>
      <c r="I4" s="2">
        <f t="shared" ref="I4:I67" si="9">I3*EXP(F3)</f>
        <v>1.0202013400267556</v>
      </c>
      <c r="J4" s="2">
        <f t="shared" ref="J4:J67" si="10">G4^B4*(H4*I4)^(1-B4)</f>
        <v>1.1520620126110008</v>
      </c>
      <c r="K4" s="2">
        <f t="shared" ref="K4:K67" si="11">J4/I4</f>
        <v>1.1292496563284138</v>
      </c>
      <c r="L4" s="2">
        <f t="shared" ref="L4:L67" si="12">G4/(H4*I4)</f>
        <v>1.2277435479256102</v>
      </c>
      <c r="M4" s="2">
        <f t="shared" ref="M4:M67" si="13">C4*(1/L4)^(1-B4)-D4</f>
        <v>0.1232425762186516</v>
      </c>
      <c r="N4" s="1">
        <f t="shared" ref="N4:N67" si="14">E4+F4</f>
        <v>0.04</v>
      </c>
      <c r="O4" s="1">
        <f t="shared" si="0"/>
        <v>3.1290369713070327</v>
      </c>
    </row>
    <row r="5" spans="1:15" x14ac:dyDescent="0.25">
      <c r="A5" s="1">
        <f t="shared" si="1"/>
        <v>3</v>
      </c>
      <c r="B5" s="1">
        <f t="shared" si="2"/>
        <v>0.3</v>
      </c>
      <c r="C5" s="1">
        <f t="shared" si="3"/>
        <v>0.2</v>
      </c>
      <c r="D5" s="1">
        <f t="shared" si="4"/>
        <v>0.05</v>
      </c>
      <c r="E5" s="1">
        <f t="shared" si="5"/>
        <v>0.03</v>
      </c>
      <c r="F5" s="1">
        <f t="shared" si="6"/>
        <v>0.01</v>
      </c>
      <c r="G5" s="2">
        <f t="shared" si="7"/>
        <v>1.5044397156701246</v>
      </c>
      <c r="H5" s="2">
        <f t="shared" si="8"/>
        <v>1.0941742837052106</v>
      </c>
      <c r="I5" s="2">
        <f t="shared" si="9"/>
        <v>1.0304545339535165</v>
      </c>
      <c r="J5" s="2">
        <f t="shared" si="10"/>
        <v>1.2293998999160414</v>
      </c>
      <c r="K5" s="2">
        <f t="shared" si="11"/>
        <v>1.1930656418185057</v>
      </c>
      <c r="L5" s="2">
        <f t="shared" si="12"/>
        <v>1.3343183296367833</v>
      </c>
      <c r="M5" s="2">
        <f t="shared" si="13"/>
        <v>0.11343624634615927</v>
      </c>
      <c r="N5" s="1">
        <f t="shared" si="14"/>
        <v>0.04</v>
      </c>
      <c r="O5" s="1">
        <f t="shared" si="0"/>
        <v>3.1290369713070327</v>
      </c>
    </row>
    <row r="6" spans="1:15" x14ac:dyDescent="0.25">
      <c r="A6" s="1">
        <f t="shared" si="1"/>
        <v>4</v>
      </c>
      <c r="B6" s="1">
        <f t="shared" si="2"/>
        <v>0.3</v>
      </c>
      <c r="C6" s="1">
        <f t="shared" si="3"/>
        <v>0.2</v>
      </c>
      <c r="D6" s="1">
        <f t="shared" si="4"/>
        <v>0.05</v>
      </c>
      <c r="E6" s="1">
        <f t="shared" si="5"/>
        <v>0.03</v>
      </c>
      <c r="F6" s="1">
        <f t="shared" si="6"/>
        <v>0.01</v>
      </c>
      <c r="G6" s="2">
        <f t="shared" si="7"/>
        <v>1.685153728688995</v>
      </c>
      <c r="H6" s="2">
        <f t="shared" si="8"/>
        <v>1.127496851579376</v>
      </c>
      <c r="I6" s="2">
        <f t="shared" si="9"/>
        <v>1.0408107741923878</v>
      </c>
      <c r="J6" s="2">
        <f t="shared" si="10"/>
        <v>1.308075584899494</v>
      </c>
      <c r="K6" s="2">
        <f t="shared" si="11"/>
        <v>1.2567852075844326</v>
      </c>
      <c r="L6" s="2">
        <f t="shared" si="12"/>
        <v>1.4359932833555793</v>
      </c>
      <c r="M6" s="2">
        <f t="shared" si="13"/>
        <v>0.10524703326825173</v>
      </c>
      <c r="N6" s="1">
        <f t="shared" si="14"/>
        <v>0.04</v>
      </c>
      <c r="O6" s="1">
        <f t="shared" si="0"/>
        <v>3.1290369713070327</v>
      </c>
    </row>
    <row r="7" spans="1:15" x14ac:dyDescent="0.25">
      <c r="A7" s="1">
        <f t="shared" si="1"/>
        <v>5</v>
      </c>
      <c r="B7" s="1">
        <f t="shared" si="2"/>
        <v>0.3</v>
      </c>
      <c r="C7" s="1">
        <f t="shared" si="3"/>
        <v>0.2</v>
      </c>
      <c r="D7" s="1">
        <f t="shared" si="4"/>
        <v>0.05</v>
      </c>
      <c r="E7" s="1">
        <f t="shared" si="5"/>
        <v>0.03</v>
      </c>
      <c r="F7" s="1">
        <f t="shared" si="6"/>
        <v>0.01</v>
      </c>
      <c r="G7" s="2">
        <f t="shared" si="7"/>
        <v>1.8721805602973003</v>
      </c>
      <c r="H7" s="2">
        <f t="shared" si="8"/>
        <v>1.1618342427282835</v>
      </c>
      <c r="I7" s="2">
        <f t="shared" si="9"/>
        <v>1.0512710963760235</v>
      </c>
      <c r="J7" s="2">
        <f t="shared" si="10"/>
        <v>1.3883710423887805</v>
      </c>
      <c r="K7" s="2">
        <f t="shared" si="11"/>
        <v>1.3206593876449368</v>
      </c>
      <c r="L7" s="2">
        <f t="shared" si="12"/>
        <v>1.5328118000301669</v>
      </c>
      <c r="M7" s="2">
        <f t="shared" si="13"/>
        <v>9.8315934032378663E-2</v>
      </c>
      <c r="N7" s="1">
        <f t="shared" si="14"/>
        <v>0.04</v>
      </c>
      <c r="O7" s="1">
        <f t="shared" si="0"/>
        <v>3.1290369713070327</v>
      </c>
    </row>
    <row r="8" spans="1:15" x14ac:dyDescent="0.25">
      <c r="A8" s="1">
        <f t="shared" si="1"/>
        <v>6</v>
      </c>
      <c r="B8" s="1">
        <f t="shared" si="2"/>
        <v>0.3</v>
      </c>
      <c r="C8" s="1">
        <f t="shared" si="3"/>
        <v>0.2</v>
      </c>
      <c r="D8" s="1">
        <f t="shared" si="4"/>
        <v>0.05</v>
      </c>
      <c r="E8" s="1">
        <f t="shared" si="5"/>
        <v>0.03</v>
      </c>
      <c r="F8" s="1">
        <f t="shared" si="6"/>
        <v>0.01</v>
      </c>
      <c r="G8" s="2">
        <f t="shared" si="7"/>
        <v>2.06559797463165</v>
      </c>
      <c r="H8" s="2">
        <f t="shared" si="8"/>
        <v>1.1972173631218106</v>
      </c>
      <c r="I8" s="2">
        <f t="shared" si="9"/>
        <v>1.061836546545359</v>
      </c>
      <c r="J8" s="2">
        <f t="shared" si="10"/>
        <v>1.4705344824001128</v>
      </c>
      <c r="K8" s="2">
        <f t="shared" si="11"/>
        <v>1.3848972209370976</v>
      </c>
      <c r="L8" s="2">
        <f t="shared" si="12"/>
        <v>1.6248569166079001</v>
      </c>
      <c r="M8" s="2">
        <f t="shared" si="13"/>
        <v>9.2383416372428181E-2</v>
      </c>
      <c r="N8" s="1">
        <f t="shared" si="14"/>
        <v>0.04</v>
      </c>
      <c r="O8" s="1">
        <f t="shared" si="0"/>
        <v>3.1290369713070327</v>
      </c>
    </row>
    <row r="9" spans="1:15" x14ac:dyDescent="0.25">
      <c r="A9" s="1">
        <f t="shared" si="1"/>
        <v>7</v>
      </c>
      <c r="B9" s="1">
        <f t="shared" si="2"/>
        <v>0.3</v>
      </c>
      <c r="C9" s="1">
        <f t="shared" si="3"/>
        <v>0.2</v>
      </c>
      <c r="D9" s="1">
        <f t="shared" si="4"/>
        <v>0.05</v>
      </c>
      <c r="E9" s="1">
        <f t="shared" si="5"/>
        <v>0.03</v>
      </c>
      <c r="F9" s="1">
        <f t="shared" si="6"/>
        <v>0.01</v>
      </c>
      <c r="G9" s="2">
        <f t="shared" si="7"/>
        <v>2.2655174259172006</v>
      </c>
      <c r="H9" s="2">
        <f t="shared" si="8"/>
        <v>1.2336780599567438</v>
      </c>
      <c r="I9" s="2">
        <f t="shared" si="9"/>
        <v>1.0725081812542157</v>
      </c>
      <c r="J9" s="2">
        <f t="shared" si="10"/>
        <v>1.5547907226788391</v>
      </c>
      <c r="K9" s="2">
        <f t="shared" si="11"/>
        <v>1.4496772610728537</v>
      </c>
      <c r="L9" s="2">
        <f t="shared" si="12"/>
        <v>1.7122412364928465</v>
      </c>
      <c r="M9" s="2">
        <f t="shared" si="13"/>
        <v>8.7257008477820738E-2</v>
      </c>
      <c r="N9" s="1">
        <f t="shared" si="14"/>
        <v>0.04</v>
      </c>
      <c r="O9" s="1">
        <f t="shared" si="0"/>
        <v>3.1290369713070327</v>
      </c>
    </row>
    <row r="10" spans="1:15" x14ac:dyDescent="0.25">
      <c r="A10" s="1">
        <f t="shared" si="1"/>
        <v>8</v>
      </c>
      <c r="B10" s="1">
        <f t="shared" si="2"/>
        <v>0.3</v>
      </c>
      <c r="C10" s="1">
        <f t="shared" si="3"/>
        <v>0.2</v>
      </c>
      <c r="D10" s="1">
        <f t="shared" si="4"/>
        <v>0.05</v>
      </c>
      <c r="E10" s="1">
        <f t="shared" si="5"/>
        <v>0.03</v>
      </c>
      <c r="F10" s="1">
        <f t="shared" si="6"/>
        <v>0.01</v>
      </c>
      <c r="G10" s="2">
        <f t="shared" si="7"/>
        <v>2.472080701837581</v>
      </c>
      <c r="H10" s="2">
        <f t="shared" si="8"/>
        <v>1.2712491503214054</v>
      </c>
      <c r="I10" s="2">
        <f t="shared" si="9"/>
        <v>1.0832870676749575</v>
      </c>
      <c r="J10" s="2">
        <f t="shared" si="10"/>
        <v>1.6413483285854125</v>
      </c>
      <c r="K10" s="2">
        <f t="shared" si="11"/>
        <v>1.5151554722315788</v>
      </c>
      <c r="L10" s="2">
        <f t="shared" si="12"/>
        <v>1.7950990212078142</v>
      </c>
      <c r="M10" s="2">
        <f t="shared" si="13"/>
        <v>8.279083707626074E-2</v>
      </c>
      <c r="N10" s="1">
        <f t="shared" si="14"/>
        <v>0.04</v>
      </c>
      <c r="O10" s="1">
        <f t="shared" si="0"/>
        <v>3.1290369713070327</v>
      </c>
    </row>
    <row r="11" spans="1:15" x14ac:dyDescent="0.25">
      <c r="A11" s="1">
        <f t="shared" si="1"/>
        <v>9</v>
      </c>
      <c r="B11" s="1">
        <f t="shared" si="2"/>
        <v>0.3</v>
      </c>
      <c r="C11" s="1">
        <f t="shared" si="3"/>
        <v>0.2</v>
      </c>
      <c r="D11" s="1">
        <f t="shared" si="4"/>
        <v>0.05</v>
      </c>
      <c r="E11" s="1">
        <f t="shared" si="5"/>
        <v>0.03</v>
      </c>
      <c r="F11" s="1">
        <f t="shared" si="6"/>
        <v>0.01</v>
      </c>
      <c r="G11" s="2">
        <f t="shared" si="7"/>
        <v>2.6854572798082774</v>
      </c>
      <c r="H11" s="2">
        <f t="shared" si="8"/>
        <v>1.3099644507332482</v>
      </c>
      <c r="I11" s="2">
        <f t="shared" si="9"/>
        <v>1.0941742837052093</v>
      </c>
      <c r="J11" s="2">
        <f t="shared" si="10"/>
        <v>1.7304046912890627</v>
      </c>
      <c r="K11" s="2">
        <f t="shared" si="11"/>
        <v>1.5814708105087083</v>
      </c>
      <c r="L11" s="2">
        <f t="shared" si="12"/>
        <v>1.8735799687973447</v>
      </c>
      <c r="M11" s="2">
        <f t="shared" si="13"/>
        <v>7.8872256080916039E-2</v>
      </c>
      <c r="N11" s="1">
        <f t="shared" si="14"/>
        <v>0.04</v>
      </c>
      <c r="O11" s="1">
        <f t="shared" si="0"/>
        <v>3.1290369713070327</v>
      </c>
    </row>
    <row r="12" spans="1:15" x14ac:dyDescent="0.25">
      <c r="A12" s="1">
        <f t="shared" si="1"/>
        <v>10</v>
      </c>
      <c r="B12" s="1">
        <f t="shared" si="2"/>
        <v>0.3</v>
      </c>
      <c r="C12" s="1">
        <f t="shared" si="3"/>
        <v>0.2</v>
      </c>
      <c r="D12" s="1">
        <f t="shared" si="4"/>
        <v>0.05</v>
      </c>
      <c r="E12" s="1">
        <f t="shared" si="5"/>
        <v>0.03</v>
      </c>
      <c r="F12" s="1">
        <f t="shared" si="6"/>
        <v>0.01</v>
      </c>
      <c r="G12" s="2">
        <f t="shared" si="7"/>
        <v>2.9058422475562495</v>
      </c>
      <c r="H12" s="2">
        <f t="shared" si="8"/>
        <v>1.3498588075760041</v>
      </c>
      <c r="I12" s="2">
        <f t="shared" si="9"/>
        <v>1.1051709180756464</v>
      </c>
      <c r="J12" s="2">
        <f t="shared" si="10"/>
        <v>1.8221497467505241</v>
      </c>
      <c r="K12" s="2">
        <f t="shared" si="11"/>
        <v>1.6487492721246237</v>
      </c>
      <c r="L12" s="2">
        <f t="shared" si="12"/>
        <v>1.9478443091542117</v>
      </c>
      <c r="M12" s="2">
        <f t="shared" si="13"/>
        <v>7.5412847052032009E-2</v>
      </c>
      <c r="N12" s="1">
        <f t="shared" si="14"/>
        <v>0.04</v>
      </c>
      <c r="O12" s="1">
        <f t="shared" si="0"/>
        <v>3.1290369713070327</v>
      </c>
    </row>
    <row r="13" spans="1:15" x14ac:dyDescent="0.25">
      <c r="A13" s="1">
        <f t="shared" si="1"/>
        <v>11</v>
      </c>
      <c r="B13" s="1">
        <f t="shared" si="2"/>
        <v>0.3</v>
      </c>
      <c r="C13" s="1">
        <f t="shared" si="3"/>
        <v>0.2</v>
      </c>
      <c r="D13" s="1">
        <f t="shared" si="4"/>
        <v>0.05</v>
      </c>
      <c r="E13" s="1">
        <f t="shared" si="5"/>
        <v>0.03</v>
      </c>
      <c r="F13" s="1">
        <f t="shared" si="6"/>
        <v>0.01</v>
      </c>
      <c r="G13" s="2">
        <f t="shared" si="7"/>
        <v>3.1334546741362761</v>
      </c>
      <c r="H13" s="2">
        <f t="shared" si="8"/>
        <v>1.3909681284637814</v>
      </c>
      <c r="I13" s="2">
        <f t="shared" si="9"/>
        <v>1.11627807045887</v>
      </c>
      <c r="J13" s="2">
        <f t="shared" si="10"/>
        <v>1.9167687731956888</v>
      </c>
      <c r="K13" s="2">
        <f t="shared" si="11"/>
        <v>1.7171068964991492</v>
      </c>
      <c r="L13" s="2">
        <f t="shared" si="12"/>
        <v>2.018058933956969</v>
      </c>
      <c r="M13" s="2">
        <f t="shared" si="13"/>
        <v>7.234220517161552E-2</v>
      </c>
      <c r="N13" s="1">
        <f t="shared" si="14"/>
        <v>0.04</v>
      </c>
      <c r="O13" s="1">
        <f t="shared" si="0"/>
        <v>3.1290369713070327</v>
      </c>
    </row>
    <row r="14" spans="1:15" x14ac:dyDescent="0.25">
      <c r="A14" s="1">
        <f t="shared" si="1"/>
        <v>12</v>
      </c>
      <c r="B14" s="1">
        <f t="shared" si="2"/>
        <v>0.3</v>
      </c>
      <c r="C14" s="1">
        <f t="shared" si="3"/>
        <v>0.2</v>
      </c>
      <c r="D14" s="1">
        <f t="shared" si="4"/>
        <v>0.05</v>
      </c>
      <c r="E14" s="1">
        <f t="shared" si="5"/>
        <v>0.03</v>
      </c>
      <c r="F14" s="1">
        <f t="shared" si="6"/>
        <v>0.01</v>
      </c>
      <c r="G14" s="2">
        <f t="shared" si="7"/>
        <v>3.3685363442873921</v>
      </c>
      <c r="H14" s="2">
        <f t="shared" si="8"/>
        <v>1.4333294145603415</v>
      </c>
      <c r="I14" s="2">
        <f t="shared" si="9"/>
        <v>1.1274968515793742</v>
      </c>
      <c r="J14" s="2">
        <f t="shared" si="10"/>
        <v>2.0144445488224898</v>
      </c>
      <c r="K14" s="2">
        <f t="shared" si="11"/>
        <v>1.7866520389841423</v>
      </c>
      <c r="L14" s="2">
        <f t="shared" si="12"/>
        <v>2.0843943445404118</v>
      </c>
      <c r="M14" s="2">
        <f t="shared" si="13"/>
        <v>6.960355139042694E-2</v>
      </c>
      <c r="N14" s="1">
        <f t="shared" si="14"/>
        <v>0.04</v>
      </c>
      <c r="O14" s="1">
        <f t="shared" si="0"/>
        <v>3.1290369713070327</v>
      </c>
    </row>
    <row r="15" spans="1:15" x14ac:dyDescent="0.25">
      <c r="A15" s="1">
        <f t="shared" si="1"/>
        <v>13</v>
      </c>
      <c r="B15" s="1">
        <f t="shared" si="2"/>
        <v>0.3</v>
      </c>
      <c r="C15" s="1">
        <f t="shared" si="3"/>
        <v>0.2</v>
      </c>
      <c r="D15" s="1">
        <f t="shared" si="4"/>
        <v>0.05</v>
      </c>
      <c r="E15" s="1">
        <f t="shared" si="5"/>
        <v>0.03</v>
      </c>
      <c r="F15" s="1">
        <f t="shared" si="6"/>
        <v>0.01</v>
      </c>
      <c r="G15" s="2">
        <f t="shared" si="7"/>
        <v>3.6113507892630961</v>
      </c>
      <c r="H15" s="2">
        <f t="shared" si="8"/>
        <v>1.476980793882644</v>
      </c>
      <c r="I15" s="2">
        <f t="shared" si="9"/>
        <v>1.1388283833246202</v>
      </c>
      <c r="J15" s="2">
        <f t="shared" si="10"/>
        <v>2.1153590563017772</v>
      </c>
      <c r="K15" s="2">
        <f t="shared" si="11"/>
        <v>1.8574871220950238</v>
      </c>
      <c r="L15" s="2">
        <f t="shared" si="12"/>
        <v>2.1470222501452909</v>
      </c>
      <c r="M15" s="2">
        <f t="shared" si="13"/>
        <v>6.7150572167674727E-2</v>
      </c>
      <c r="N15" s="1">
        <f t="shared" si="14"/>
        <v>0.04</v>
      </c>
      <c r="O15" s="1">
        <f t="shared" si="0"/>
        <v>3.1290369713070327</v>
      </c>
    </row>
    <row r="16" spans="1:15" x14ac:dyDescent="0.25">
      <c r="A16" s="1">
        <f t="shared" si="1"/>
        <v>14</v>
      </c>
      <c r="B16" s="1">
        <f t="shared" si="2"/>
        <v>0.3</v>
      </c>
      <c r="C16" s="1">
        <f t="shared" si="3"/>
        <v>0.2</v>
      </c>
      <c r="D16" s="1">
        <f t="shared" si="4"/>
        <v>0.05</v>
      </c>
      <c r="E16" s="1">
        <f t="shared" si="5"/>
        <v>0.03</v>
      </c>
      <c r="F16" s="1">
        <f t="shared" si="6"/>
        <v>0.01</v>
      </c>
      <c r="G16" s="2">
        <f t="shared" si="7"/>
        <v>3.8621825624822295</v>
      </c>
      <c r="H16" s="2">
        <f t="shared" si="8"/>
        <v>1.5219615556186354</v>
      </c>
      <c r="I16" s="2">
        <f t="shared" si="9"/>
        <v>1.1502737988572256</v>
      </c>
      <c r="J16" s="2">
        <f t="shared" si="10"/>
        <v>2.2196948607240987</v>
      </c>
      <c r="K16" s="2">
        <f t="shared" si="11"/>
        <v>1.9297100072429034</v>
      </c>
      <c r="L16" s="2">
        <f t="shared" si="12"/>
        <v>2.2061136859286923</v>
      </c>
      <c r="M16" s="2">
        <f t="shared" si="13"/>
        <v>6.4945102921157544E-2</v>
      </c>
      <c r="N16" s="1">
        <f t="shared" si="14"/>
        <v>0.04</v>
      </c>
      <c r="O16" s="1">
        <f t="shared" si="0"/>
        <v>3.1290369713070327</v>
      </c>
    </row>
    <row r="17" spans="1:15" x14ac:dyDescent="0.25">
      <c r="A17" s="1">
        <f t="shared" si="1"/>
        <v>15</v>
      </c>
      <c r="B17" s="1">
        <f t="shared" si="2"/>
        <v>0.3</v>
      </c>
      <c r="C17" s="1">
        <f t="shared" si="3"/>
        <v>0.2</v>
      </c>
      <c r="D17" s="1">
        <f t="shared" si="4"/>
        <v>0.05</v>
      </c>
      <c r="E17" s="1">
        <f t="shared" si="5"/>
        <v>0.03</v>
      </c>
      <c r="F17" s="1">
        <f t="shared" si="6"/>
        <v>0.01</v>
      </c>
      <c r="G17" s="2">
        <f t="shared" si="7"/>
        <v>4.1213367198150053</v>
      </c>
      <c r="H17" s="2">
        <f t="shared" si="8"/>
        <v>1.5683121854901707</v>
      </c>
      <c r="I17" s="2">
        <f t="shared" si="9"/>
        <v>1.1618342427282813</v>
      </c>
      <c r="J17" s="2">
        <f t="shared" si="10"/>
        <v>2.3276362489018978</v>
      </c>
      <c r="K17" s="2">
        <f t="shared" si="11"/>
        <v>2.0034150856459676</v>
      </c>
      <c r="L17" s="2">
        <f t="shared" si="12"/>
        <v>2.2618375480960622</v>
      </c>
      <c r="M17" s="2">
        <f t="shared" si="13"/>
        <v>6.2955402925989445E-2</v>
      </c>
      <c r="N17" s="1">
        <f t="shared" si="14"/>
        <v>0.04</v>
      </c>
      <c r="O17" s="1">
        <f t="shared" si="0"/>
        <v>3.1290369713070327</v>
      </c>
    </row>
    <row r="18" spans="1:15" x14ac:dyDescent="0.25">
      <c r="A18" s="1">
        <f t="shared" si="1"/>
        <v>16</v>
      </c>
      <c r="B18" s="1">
        <f t="shared" si="2"/>
        <v>0.3</v>
      </c>
      <c r="C18" s="1">
        <f t="shared" si="3"/>
        <v>0.2</v>
      </c>
      <c r="D18" s="1">
        <f t="shared" si="4"/>
        <v>0.05</v>
      </c>
      <c r="E18" s="1">
        <f t="shared" si="5"/>
        <v>0.03</v>
      </c>
      <c r="F18" s="1">
        <f t="shared" si="6"/>
        <v>0.01</v>
      </c>
      <c r="G18" s="2">
        <f t="shared" si="7"/>
        <v>4.3891384730143264</v>
      </c>
      <c r="H18" s="2">
        <f t="shared" si="8"/>
        <v>1.6160744021928954</v>
      </c>
      <c r="I18" s="2">
        <f t="shared" si="9"/>
        <v>1.1735108709918083</v>
      </c>
      <c r="J18" s="2">
        <f t="shared" si="10"/>
        <v>2.4393701922751307</v>
      </c>
      <c r="K18" s="2">
        <f t="shared" si="11"/>
        <v>2.0786941583365688</v>
      </c>
      <c r="L18" s="2">
        <f t="shared" si="12"/>
        <v>2.3143594648963299</v>
      </c>
      <c r="M18" s="2">
        <f t="shared" si="13"/>
        <v>6.1154852245973723E-2</v>
      </c>
      <c r="N18" s="1">
        <f t="shared" si="14"/>
        <v>0.04</v>
      </c>
      <c r="O18" s="1">
        <f t="shared" si="0"/>
        <v>3.1290369713070327</v>
      </c>
    </row>
    <row r="19" spans="1:15" x14ac:dyDescent="0.25">
      <c r="A19" s="1">
        <f t="shared" si="1"/>
        <v>17</v>
      </c>
      <c r="B19" s="1">
        <f t="shared" si="2"/>
        <v>0.3</v>
      </c>
      <c r="C19" s="1">
        <f t="shared" si="3"/>
        <v>0.2</v>
      </c>
      <c r="D19" s="1">
        <f t="shared" si="4"/>
        <v>0.05</v>
      </c>
      <c r="E19" s="1">
        <f t="shared" si="5"/>
        <v>0.03</v>
      </c>
      <c r="F19" s="1">
        <f t="shared" si="6"/>
        <v>0.01</v>
      </c>
      <c r="G19" s="2">
        <f t="shared" si="7"/>
        <v>4.6659329914476357</v>
      </c>
      <c r="H19" s="2">
        <f t="shared" si="8"/>
        <v>1.6652911949458886</v>
      </c>
      <c r="I19" s="2">
        <f t="shared" si="9"/>
        <v>1.1853048513203635</v>
      </c>
      <c r="J19" s="2">
        <f t="shared" si="10"/>
        <v>2.5550871783045408</v>
      </c>
      <c r="K19" s="2">
        <f t="shared" si="11"/>
        <v>2.1556371556720757</v>
      </c>
      <c r="L19" s="2">
        <f t="shared" si="12"/>
        <v>2.3638409387065806</v>
      </c>
      <c r="M19" s="2">
        <f t="shared" si="13"/>
        <v>5.9520954672424867E-2</v>
      </c>
      <c r="N19" s="1">
        <f t="shared" si="14"/>
        <v>0.04</v>
      </c>
      <c r="O19" s="1">
        <f t="shared" si="0"/>
        <v>3.1290369713070327</v>
      </c>
    </row>
    <row r="20" spans="1:15" x14ac:dyDescent="0.25">
      <c r="A20" s="1">
        <f t="shared" si="1"/>
        <v>18</v>
      </c>
      <c r="B20" s="1">
        <f t="shared" si="2"/>
        <v>0.3</v>
      </c>
      <c r="C20" s="1">
        <f t="shared" si="3"/>
        <v>0.2</v>
      </c>
      <c r="D20" s="1">
        <f t="shared" si="4"/>
        <v>0.05</v>
      </c>
      <c r="E20" s="1">
        <f t="shared" si="5"/>
        <v>0.03</v>
      </c>
      <c r="F20" s="1">
        <f t="shared" si="6"/>
        <v>0.01</v>
      </c>
      <c r="G20" s="2">
        <f t="shared" si="7"/>
        <v>4.9520853324066003</v>
      </c>
      <c r="H20" s="2">
        <f t="shared" si="8"/>
        <v>1.716006862184861</v>
      </c>
      <c r="I20" s="2">
        <f t="shared" si="9"/>
        <v>1.1972173631218079</v>
      </c>
      <c r="J20" s="2">
        <f t="shared" si="10"/>
        <v>2.6749819432611455</v>
      </c>
      <c r="K20" s="2">
        <f t="shared" si="11"/>
        <v>2.2343327332690763</v>
      </c>
      <c r="L20" s="2">
        <f t="shared" si="12"/>
        <v>2.4104387072551998</v>
      </c>
      <c r="M20" s="2">
        <f t="shared" si="13"/>
        <v>5.803456579215148E-2</v>
      </c>
      <c r="N20" s="1">
        <f t="shared" si="14"/>
        <v>0.04</v>
      </c>
      <c r="O20" s="1">
        <f t="shared" si="0"/>
        <v>3.1290369713070327</v>
      </c>
    </row>
    <row r="21" spans="1:15" x14ac:dyDescent="0.25">
      <c r="A21" s="1">
        <f t="shared" si="1"/>
        <v>19</v>
      </c>
      <c r="B21" s="1">
        <f t="shared" si="2"/>
        <v>0.3</v>
      </c>
      <c r="C21" s="1">
        <f t="shared" si="3"/>
        <v>0.2</v>
      </c>
      <c r="D21" s="1">
        <f t="shared" si="4"/>
        <v>0.05</v>
      </c>
      <c r="E21" s="1">
        <f t="shared" si="5"/>
        <v>0.03</v>
      </c>
      <c r="F21" s="1">
        <f t="shared" si="6"/>
        <v>0.01</v>
      </c>
      <c r="G21" s="2">
        <f t="shared" si="7"/>
        <v>5.2479804842557805</v>
      </c>
      <c r="H21" s="2">
        <f t="shared" si="8"/>
        <v>1.768267051433738</v>
      </c>
      <c r="I21" s="2">
        <f t="shared" si="9"/>
        <v>1.209249597657249</v>
      </c>
      <c r="J21" s="2">
        <f t="shared" si="10"/>
        <v>2.7992541309176158</v>
      </c>
      <c r="K21" s="2">
        <f t="shared" si="11"/>
        <v>2.3148687717910157</v>
      </c>
      <c r="L21" s="2">
        <f t="shared" si="12"/>
        <v>2.4543042820896352</v>
      </c>
      <c r="M21" s="2">
        <f t="shared" si="13"/>
        <v>5.6679288892766549E-2</v>
      </c>
      <c r="N21" s="1">
        <f t="shared" si="14"/>
        <v>0.04</v>
      </c>
      <c r="O21" s="1">
        <f t="shared" si="0"/>
        <v>3.1290369713070327</v>
      </c>
    </row>
    <row r="22" spans="1:15" x14ac:dyDescent="0.25">
      <c r="A22" s="1">
        <f t="shared" si="1"/>
        <v>20</v>
      </c>
      <c r="B22" s="1">
        <f t="shared" si="2"/>
        <v>0.3</v>
      </c>
      <c r="C22" s="1">
        <f t="shared" si="3"/>
        <v>0.2</v>
      </c>
      <c r="D22" s="1">
        <f t="shared" si="4"/>
        <v>0.05</v>
      </c>
      <c r="E22" s="1">
        <f t="shared" si="5"/>
        <v>0.03</v>
      </c>
      <c r="F22" s="1">
        <f t="shared" si="6"/>
        <v>0.01</v>
      </c>
      <c r="G22" s="2">
        <f t="shared" si="7"/>
        <v>5.5540235098083528</v>
      </c>
      <c r="H22" s="2">
        <f t="shared" si="8"/>
        <v>1.822118800390512</v>
      </c>
      <c r="I22" s="2">
        <f t="shared" si="9"/>
        <v>1.2214027581601672</v>
      </c>
      <c r="J22" s="2">
        <f t="shared" si="10"/>
        <v>2.9281088956591539</v>
      </c>
      <c r="K22" s="2">
        <f t="shared" si="11"/>
        <v>2.3973328012373623</v>
      </c>
      <c r="L22" s="2">
        <f t="shared" si="12"/>
        <v>2.4955836303448837</v>
      </c>
      <c r="M22" s="2">
        <f t="shared" si="13"/>
        <v>5.544099752145959E-2</v>
      </c>
      <c r="N22" s="1">
        <f t="shared" si="14"/>
        <v>0.04</v>
      </c>
      <c r="O22" s="1">
        <f t="shared" si="0"/>
        <v>3.1290369713070327</v>
      </c>
    </row>
    <row r="23" spans="1:15" x14ac:dyDescent="0.25">
      <c r="A23" s="1">
        <f t="shared" si="1"/>
        <v>21</v>
      </c>
      <c r="B23" s="1">
        <f t="shared" si="2"/>
        <v>0.3</v>
      </c>
      <c r="C23" s="1">
        <f t="shared" si="3"/>
        <v>0.2</v>
      </c>
      <c r="D23" s="1">
        <f t="shared" si="4"/>
        <v>0.05</v>
      </c>
      <c r="E23" s="1">
        <f t="shared" si="5"/>
        <v>0.03</v>
      </c>
      <c r="F23" s="1">
        <f t="shared" si="6"/>
        <v>0.01</v>
      </c>
      <c r="G23" s="2">
        <f t="shared" si="7"/>
        <v>5.8706397797937102</v>
      </c>
      <c r="H23" s="2">
        <f t="shared" si="8"/>
        <v>1.8776105792643465</v>
      </c>
      <c r="I23" s="2">
        <f t="shared" si="9"/>
        <v>1.2336780599567405</v>
      </c>
      <c r="J23" s="2">
        <f t="shared" si="10"/>
        <v>3.0617574642037768</v>
      </c>
      <c r="K23" s="2">
        <f t="shared" si="11"/>
        <v>2.481812365465216</v>
      </c>
      <c r="L23" s="2">
        <f t="shared" si="12"/>
        <v>2.5344169721983212</v>
      </c>
      <c r="M23" s="2">
        <f t="shared" si="13"/>
        <v>5.4307454691466875E-2</v>
      </c>
      <c r="N23" s="1">
        <f t="shared" si="14"/>
        <v>0.04</v>
      </c>
      <c r="O23" s="1">
        <f t="shared" si="0"/>
        <v>3.1290369713070327</v>
      </c>
    </row>
    <row r="24" spans="1:15" x14ac:dyDescent="0.25">
      <c r="A24" s="1">
        <f t="shared" si="1"/>
        <v>22</v>
      </c>
      <c r="B24" s="1">
        <f t="shared" si="2"/>
        <v>0.3</v>
      </c>
      <c r="C24" s="1">
        <f t="shared" si="3"/>
        <v>0.2</v>
      </c>
      <c r="D24" s="1">
        <f t="shared" si="4"/>
        <v>0.05</v>
      </c>
      <c r="E24" s="1">
        <f t="shared" si="5"/>
        <v>0.03</v>
      </c>
      <c r="F24" s="1">
        <f t="shared" si="6"/>
        <v>0.01</v>
      </c>
      <c r="G24" s="2">
        <f t="shared" si="7"/>
        <v>6.1982752882612671</v>
      </c>
      <c r="H24" s="2">
        <f t="shared" si="8"/>
        <v>1.9347923344020352</v>
      </c>
      <c r="I24" s="2">
        <f t="shared" si="9"/>
        <v>1.2460767305873779</v>
      </c>
      <c r="J24" s="2">
        <f t="shared" si="10"/>
        <v>3.2004176669543196</v>
      </c>
      <c r="K24" s="2">
        <f t="shared" si="11"/>
        <v>2.5683953390620666</v>
      </c>
      <c r="L24" s="2">
        <f t="shared" si="12"/>
        <v>2.5709386714690026</v>
      </c>
      <c r="M24" s="2">
        <f t="shared" si="13"/>
        <v>5.3268006602272031E-2</v>
      </c>
      <c r="N24" s="1">
        <f t="shared" si="14"/>
        <v>0.04</v>
      </c>
      <c r="O24" s="1">
        <f t="shared" si="0"/>
        <v>3.1290369713070327</v>
      </c>
    </row>
    <row r="25" spans="1:15" x14ac:dyDescent="0.25">
      <c r="A25" s="1">
        <f t="shared" si="1"/>
        <v>23</v>
      </c>
      <c r="B25" s="1">
        <f t="shared" si="2"/>
        <v>0.3</v>
      </c>
      <c r="C25" s="1">
        <f t="shared" si="3"/>
        <v>0.2</v>
      </c>
      <c r="D25" s="1">
        <f t="shared" si="4"/>
        <v>0.05</v>
      </c>
      <c r="E25" s="1">
        <f t="shared" si="5"/>
        <v>0.03</v>
      </c>
      <c r="F25" s="1">
        <f t="shared" si="6"/>
        <v>0.01</v>
      </c>
      <c r="G25" s="2">
        <f t="shared" si="7"/>
        <v>6.5373970433610991</v>
      </c>
      <c r="H25" s="2">
        <f t="shared" si="8"/>
        <v>1.9937155332430863</v>
      </c>
      <c r="I25" s="2">
        <f t="shared" si="9"/>
        <v>1.2586000099294747</v>
      </c>
      <c r="J25" s="2">
        <f t="shared" si="10"/>
        <v>3.344314447659102</v>
      </c>
      <c r="K25" s="2">
        <f t="shared" si="11"/>
        <v>2.6571702060025406</v>
      </c>
      <c r="L25" s="2">
        <f t="shared" si="12"/>
        <v>2.6052772009090046</v>
      </c>
      <c r="M25" s="2">
        <f t="shared" si="13"/>
        <v>5.2313334358522479E-2</v>
      </c>
      <c r="N25" s="1">
        <f t="shared" si="14"/>
        <v>0.04</v>
      </c>
      <c r="O25" s="1">
        <f t="shared" si="0"/>
        <v>3.1290369713070327</v>
      </c>
    </row>
    <row r="26" spans="1:15" x14ac:dyDescent="0.25">
      <c r="A26" s="1">
        <f t="shared" si="1"/>
        <v>24</v>
      </c>
      <c r="B26" s="1">
        <f t="shared" si="2"/>
        <v>0.3</v>
      </c>
      <c r="C26" s="1">
        <f t="shared" si="3"/>
        <v>0.2</v>
      </c>
      <c r="D26" s="1">
        <f t="shared" si="4"/>
        <v>0.05</v>
      </c>
      <c r="E26" s="1">
        <f t="shared" si="5"/>
        <v>0.03</v>
      </c>
      <c r="F26" s="1">
        <f t="shared" si="6"/>
        <v>0.01</v>
      </c>
      <c r="G26" s="2">
        <f t="shared" si="7"/>
        <v>6.8884935282406392</v>
      </c>
      <c r="H26" s="2">
        <f t="shared" si="8"/>
        <v>2.0544332106438921</v>
      </c>
      <c r="I26" s="2">
        <f t="shared" si="9"/>
        <v>1.2712491503214014</v>
      </c>
      <c r="J26" s="2">
        <f t="shared" si="10"/>
        <v>3.4936803583036338</v>
      </c>
      <c r="K26" s="2">
        <f t="shared" si="11"/>
        <v>2.7482263075026245</v>
      </c>
      <c r="L26" s="2">
        <f t="shared" si="12"/>
        <v>2.6375551670489412</v>
      </c>
      <c r="M26" s="2">
        <f t="shared" si="13"/>
        <v>5.1435251233978893E-2</v>
      </c>
      <c r="N26" s="1">
        <f t="shared" si="14"/>
        <v>0.04</v>
      </c>
      <c r="O26" s="1">
        <f t="shared" si="0"/>
        <v>3.1290369713070327</v>
      </c>
    </row>
    <row r="27" spans="1:15" x14ac:dyDescent="0.25">
      <c r="A27" s="1">
        <f t="shared" si="1"/>
        <v>25</v>
      </c>
      <c r="B27" s="1">
        <f t="shared" si="2"/>
        <v>0.3</v>
      </c>
      <c r="C27" s="1">
        <f t="shared" si="3"/>
        <v>0.2</v>
      </c>
      <c r="D27" s="1">
        <f t="shared" si="4"/>
        <v>0.05</v>
      </c>
      <c r="E27" s="1">
        <f t="shared" si="5"/>
        <v>0.03</v>
      </c>
      <c r="F27" s="1">
        <f t="shared" si="6"/>
        <v>0.01</v>
      </c>
      <c r="G27" s="2">
        <f t="shared" si="7"/>
        <v>7.2520752278625498</v>
      </c>
      <c r="H27" s="2">
        <f t="shared" si="8"/>
        <v>2.1170000166126792</v>
      </c>
      <c r="I27" s="2">
        <f t="shared" si="9"/>
        <v>1.2840254166877381</v>
      </c>
      <c r="J27" s="2">
        <f t="shared" si="10"/>
        <v>3.6487560448308822</v>
      </c>
      <c r="K27" s="2">
        <f t="shared" si="11"/>
        <v>2.8416540649508208</v>
      </c>
      <c r="L27" s="2">
        <f t="shared" si="12"/>
        <v>2.6678893821593364</v>
      </c>
      <c r="M27" s="2">
        <f t="shared" si="13"/>
        <v>5.0626535996546859E-2</v>
      </c>
      <c r="N27" s="1">
        <f t="shared" si="14"/>
        <v>0.04</v>
      </c>
      <c r="O27" s="1">
        <f t="shared" si="0"/>
        <v>3.1290369713070327</v>
      </c>
    </row>
    <row r="28" spans="1:15" x14ac:dyDescent="0.25">
      <c r="A28" s="1">
        <f t="shared" si="1"/>
        <v>26</v>
      </c>
      <c r="B28" s="1">
        <f t="shared" si="2"/>
        <v>0.3</v>
      </c>
      <c r="C28" s="1">
        <f t="shared" si="3"/>
        <v>0.2</v>
      </c>
      <c r="D28" s="1">
        <f t="shared" si="4"/>
        <v>0.05</v>
      </c>
      <c r="E28" s="1">
        <f t="shared" si="5"/>
        <v>0.03</v>
      </c>
      <c r="F28" s="1">
        <f t="shared" si="6"/>
        <v>0.01</v>
      </c>
      <c r="G28" s="2">
        <f t="shared" si="7"/>
        <v>7.6286752184312965</v>
      </c>
      <c r="H28" s="2">
        <f t="shared" si="8"/>
        <v>2.1814722654982059</v>
      </c>
      <c r="I28" s="2">
        <f t="shared" si="9"/>
        <v>1.2969300866657683</v>
      </c>
      <c r="J28" s="2">
        <f t="shared" si="10"/>
        <v>3.8097907282790398</v>
      </c>
      <c r="K28" s="2">
        <f t="shared" si="11"/>
        <v>2.9375451826192855</v>
      </c>
      <c r="L28" s="2">
        <f t="shared" si="12"/>
        <v>2.6963909730974631</v>
      </c>
      <c r="M28" s="2">
        <f t="shared" si="13"/>
        <v>4.988079500551755E-2</v>
      </c>
      <c r="N28" s="1">
        <f t="shared" si="14"/>
        <v>0.04</v>
      </c>
      <c r="O28" s="1">
        <f t="shared" si="0"/>
        <v>3.1290369713070327</v>
      </c>
    </row>
    <row r="29" spans="1:15" x14ac:dyDescent="0.25">
      <c r="A29" s="1">
        <f t="shared" si="1"/>
        <v>27</v>
      </c>
      <c r="B29" s="1">
        <f t="shared" si="2"/>
        <v>0.3</v>
      </c>
      <c r="C29" s="1">
        <f t="shared" si="3"/>
        <v>0.2</v>
      </c>
      <c r="D29" s="1">
        <f t="shared" si="4"/>
        <v>0.05</v>
      </c>
      <c r="E29" s="1">
        <f t="shared" si="5"/>
        <v>0.03</v>
      </c>
      <c r="F29" s="1">
        <f t="shared" si="6"/>
        <v>0.01</v>
      </c>
      <c r="G29" s="2">
        <f t="shared" si="7"/>
        <v>8.0188498168531872</v>
      </c>
      <c r="H29" s="2">
        <f t="shared" si="8"/>
        <v>2.2479079866764766</v>
      </c>
      <c r="I29" s="2">
        <f t="shared" si="9"/>
        <v>1.3099644507332437</v>
      </c>
      <c r="J29" s="2">
        <f t="shared" si="10"/>
        <v>3.9770426851524818</v>
      </c>
      <c r="K29" s="2">
        <f t="shared" si="11"/>
        <v>3.0359928339477906</v>
      </c>
      <c r="L29" s="2">
        <f t="shared" si="12"/>
        <v>2.7231655186220833</v>
      </c>
      <c r="M29" s="2">
        <f t="shared" si="13"/>
        <v>4.9192347431023006E-2</v>
      </c>
      <c r="N29" s="1">
        <f t="shared" si="14"/>
        <v>0.04</v>
      </c>
      <c r="O29" s="1">
        <f t="shared" si="0"/>
        <v>3.1290369713070327</v>
      </c>
    </row>
    <row r="30" spans="1:15" x14ac:dyDescent="0.25">
      <c r="A30" s="1">
        <f t="shared" si="1"/>
        <v>28</v>
      </c>
      <c r="B30" s="1">
        <f t="shared" si="2"/>
        <v>0.3</v>
      </c>
      <c r="C30" s="1">
        <f t="shared" si="3"/>
        <v>0.2</v>
      </c>
      <c r="D30" s="1">
        <f t="shared" si="4"/>
        <v>0.05</v>
      </c>
      <c r="E30" s="1">
        <f t="shared" si="5"/>
        <v>0.03</v>
      </c>
      <c r="F30" s="1">
        <f t="shared" si="6"/>
        <v>0.01</v>
      </c>
      <c r="G30" s="2">
        <f t="shared" si="7"/>
        <v>8.4231792882758683</v>
      </c>
      <c r="H30" s="2">
        <f t="shared" si="8"/>
        <v>2.3163669767810973</v>
      </c>
      <c r="I30" s="2">
        <f t="shared" si="9"/>
        <v>1.3231298123374331</v>
      </c>
      <c r="J30" s="2">
        <f t="shared" si="10"/>
        <v>4.150779730245139</v>
      </c>
      <c r="K30" s="2">
        <f t="shared" si="11"/>
        <v>3.1370918344832672</v>
      </c>
      <c r="L30" s="2">
        <f t="shared" si="12"/>
        <v>2.7483132082516915</v>
      </c>
      <c r="M30" s="2">
        <f t="shared" si="13"/>
        <v>4.8556129180879856E-2</v>
      </c>
      <c r="N30" s="1">
        <f t="shared" si="14"/>
        <v>0.04</v>
      </c>
      <c r="O30" s="1">
        <f t="shared" si="0"/>
        <v>3.1290369713070327</v>
      </c>
    </row>
    <row r="31" spans="1:15" x14ac:dyDescent="0.25">
      <c r="A31" s="1">
        <f t="shared" si="1"/>
        <v>29</v>
      </c>
      <c r="B31" s="1">
        <f t="shared" si="2"/>
        <v>0.3</v>
      </c>
      <c r="C31" s="1">
        <f t="shared" si="3"/>
        <v>0.2</v>
      </c>
      <c r="D31" s="1">
        <f t="shared" si="4"/>
        <v>0.05</v>
      </c>
      <c r="E31" s="1">
        <f t="shared" si="5"/>
        <v>0.03</v>
      </c>
      <c r="F31" s="1">
        <f t="shared" si="6"/>
        <v>0.01</v>
      </c>
      <c r="G31" s="2">
        <f t="shared" si="7"/>
        <v>8.8422686102817583</v>
      </c>
      <c r="H31" s="2">
        <f t="shared" si="8"/>
        <v>2.3869108535242827</v>
      </c>
      <c r="I31" s="2">
        <f t="shared" si="9"/>
        <v>1.3364274880254681</v>
      </c>
      <c r="J31" s="2">
        <f t="shared" si="10"/>
        <v>4.3312797046734071</v>
      </c>
      <c r="K31" s="2">
        <f t="shared" si="11"/>
        <v>3.2409388039995677</v>
      </c>
      <c r="L31" s="2">
        <f t="shared" si="12"/>
        <v>2.7719290169753714</v>
      </c>
      <c r="M31" s="2">
        <f t="shared" si="13"/>
        <v>4.7967612059127265E-2</v>
      </c>
      <c r="N31" s="1">
        <f t="shared" si="14"/>
        <v>0.04</v>
      </c>
      <c r="O31" s="1">
        <f t="shared" si="0"/>
        <v>3.1290369713070327</v>
      </c>
    </row>
    <row r="32" spans="1:15" x14ac:dyDescent="0.25">
      <c r="A32" s="1">
        <f t="shared" si="1"/>
        <v>30</v>
      </c>
      <c r="B32" s="1">
        <f t="shared" si="2"/>
        <v>0.3</v>
      </c>
      <c r="C32" s="1">
        <f t="shared" si="3"/>
        <v>0.2</v>
      </c>
      <c r="D32" s="1">
        <f t="shared" si="4"/>
        <v>0.05</v>
      </c>
      <c r="E32" s="1">
        <f t="shared" si="5"/>
        <v>0.03</v>
      </c>
      <c r="F32" s="1">
        <f t="shared" si="6"/>
        <v>0.01</v>
      </c>
      <c r="G32" s="2">
        <f t="shared" si="7"/>
        <v>9.2767482927635019</v>
      </c>
      <c r="H32" s="2">
        <f t="shared" si="8"/>
        <v>2.4596031111569561</v>
      </c>
      <c r="I32" s="2">
        <f t="shared" si="9"/>
        <v>1.349858807575999</v>
      </c>
      <c r="J32" s="2">
        <f t="shared" si="10"/>
        <v>4.5188309715163033</v>
      </c>
      <c r="K32" s="2">
        <f t="shared" si="11"/>
        <v>3.3476323198801565</v>
      </c>
      <c r="L32" s="2">
        <f t="shared" si="12"/>
        <v>2.7941028911467707</v>
      </c>
      <c r="M32" s="2">
        <f t="shared" si="13"/>
        <v>4.742273540053471E-2</v>
      </c>
      <c r="N32" s="1">
        <f t="shared" si="14"/>
        <v>0.04</v>
      </c>
      <c r="O32" s="1">
        <f t="shared" si="0"/>
        <v>3.1290369713070327</v>
      </c>
    </row>
    <row r="33" spans="1:15" x14ac:dyDescent="0.25">
      <c r="A33" s="1">
        <f t="shared" si="1"/>
        <v>31</v>
      </c>
      <c r="B33" s="1">
        <f t="shared" si="2"/>
        <v>0.3</v>
      </c>
      <c r="C33" s="1">
        <f t="shared" si="3"/>
        <v>0.2</v>
      </c>
      <c r="D33" s="1">
        <f t="shared" si="4"/>
        <v>0.05</v>
      </c>
      <c r="E33" s="1">
        <f t="shared" si="5"/>
        <v>0.03</v>
      </c>
      <c r="F33" s="1">
        <f t="shared" si="6"/>
        <v>0.01</v>
      </c>
      <c r="G33" s="2">
        <f t="shared" si="7"/>
        <v>9.7272752529027287</v>
      </c>
      <c r="H33" s="2">
        <f t="shared" si="8"/>
        <v>2.5345091776178617</v>
      </c>
      <c r="I33" s="2">
        <f t="shared" si="9"/>
        <v>1.3634251141321734</v>
      </c>
      <c r="J33" s="2">
        <f t="shared" si="10"/>
        <v>4.7137329211808119</v>
      </c>
      <c r="K33" s="2">
        <f t="shared" si="11"/>
        <v>3.4572730634943052</v>
      </c>
      <c r="L33" s="2">
        <f t="shared" si="12"/>
        <v>2.8149199417391388</v>
      </c>
      <c r="M33" s="2">
        <f t="shared" si="13"/>
        <v>4.6917847981616051E-2</v>
      </c>
      <c r="N33" s="1">
        <f t="shared" si="14"/>
        <v>0.04</v>
      </c>
      <c r="O33" s="1">
        <f t="shared" si="0"/>
        <v>3.1290369713070327</v>
      </c>
    </row>
    <row r="34" spans="1:15" x14ac:dyDescent="0.25">
      <c r="A34" s="1">
        <f t="shared" si="1"/>
        <v>32</v>
      </c>
      <c r="B34" s="1">
        <f t="shared" si="2"/>
        <v>0.3</v>
      </c>
      <c r="C34" s="1">
        <f t="shared" si="3"/>
        <v>0.2</v>
      </c>
      <c r="D34" s="1">
        <f t="shared" si="4"/>
        <v>0.05</v>
      </c>
      <c r="E34" s="1">
        <f t="shared" si="5"/>
        <v>0.03</v>
      </c>
      <c r="F34" s="1">
        <f t="shared" si="6"/>
        <v>0.01</v>
      </c>
      <c r="G34" s="2">
        <f t="shared" si="7"/>
        <v>10.194533745017425</v>
      </c>
      <c r="H34" s="2">
        <f t="shared" si="8"/>
        <v>2.6116964734231249</v>
      </c>
      <c r="I34" s="2">
        <f t="shared" si="9"/>
        <v>1.3771277643359525</v>
      </c>
      <c r="J34" s="2">
        <f t="shared" si="10"/>
        <v>4.91629648839245</v>
      </c>
      <c r="K34" s="2">
        <f t="shared" si="11"/>
        <v>3.5699639610149574</v>
      </c>
      <c r="L34" s="2">
        <f t="shared" si="12"/>
        <v>2.8344606418436378</v>
      </c>
      <c r="M34" s="2">
        <f t="shared" si="13"/>
        <v>4.6449658441619066E-2</v>
      </c>
      <c r="N34" s="1">
        <f t="shared" si="14"/>
        <v>0.04</v>
      </c>
      <c r="O34" s="1">
        <f t="shared" si="0"/>
        <v>3.1290369713070327</v>
      </c>
    </row>
    <row r="35" spans="1:15" x14ac:dyDescent="0.25">
      <c r="A35" s="1">
        <f t="shared" si="1"/>
        <v>33</v>
      </c>
      <c r="B35" s="1">
        <f t="shared" si="2"/>
        <v>0.3</v>
      </c>
      <c r="C35" s="1">
        <f t="shared" si="3"/>
        <v>0.2</v>
      </c>
      <c r="D35" s="1">
        <f t="shared" si="4"/>
        <v>0.05</v>
      </c>
      <c r="E35" s="1">
        <f t="shared" si="5"/>
        <v>0.03</v>
      </c>
      <c r="F35" s="1">
        <f t="shared" si="6"/>
        <v>0.01</v>
      </c>
      <c r="G35" s="2">
        <f t="shared" si="7"/>
        <v>10.679236345347384</v>
      </c>
      <c r="H35" s="2">
        <f t="shared" si="8"/>
        <v>2.69123447234927</v>
      </c>
      <c r="I35" s="2">
        <f t="shared" si="9"/>
        <v>1.3909681284637756</v>
      </c>
      <c r="J35" s="2">
        <f t="shared" si="10"/>
        <v>5.1268446825419884</v>
      </c>
      <c r="K35" s="2">
        <f t="shared" si="11"/>
        <v>3.6858103198987169</v>
      </c>
      <c r="L35" s="2">
        <f t="shared" si="12"/>
        <v>2.8528010258790588</v>
      </c>
      <c r="M35" s="2">
        <f t="shared" si="13"/>
        <v>4.6015192786244483E-2</v>
      </c>
      <c r="N35" s="1">
        <f t="shared" si="14"/>
        <v>0.04</v>
      </c>
      <c r="O35" s="1">
        <f t="shared" si="0"/>
        <v>3.1290369713070327</v>
      </c>
    </row>
    <row r="36" spans="1:15" x14ac:dyDescent="0.25">
      <c r="A36" s="1">
        <f t="shared" si="1"/>
        <v>34</v>
      </c>
      <c r="B36" s="1">
        <f t="shared" si="2"/>
        <v>0.3</v>
      </c>
      <c r="C36" s="1">
        <f t="shared" si="3"/>
        <v>0.2</v>
      </c>
      <c r="D36" s="1">
        <f t="shared" si="4"/>
        <v>0.05</v>
      </c>
      <c r="E36" s="1">
        <f t="shared" si="5"/>
        <v>0.03</v>
      </c>
      <c r="F36" s="1">
        <f t="shared" si="6"/>
        <v>0.01</v>
      </c>
      <c r="G36" s="2">
        <f t="shared" si="7"/>
        <v>11.182124992118764</v>
      </c>
      <c r="H36" s="2">
        <f t="shared" si="8"/>
        <v>2.7731947639643062</v>
      </c>
      <c r="I36" s="2">
        <f t="shared" si="9"/>
        <v>1.4049475905635889</v>
      </c>
      <c r="J36" s="2">
        <f t="shared" si="10"/>
        <v>5.3457131329887728</v>
      </c>
      <c r="K36" s="2">
        <f t="shared" si="11"/>
        <v>3.8049199620637539</v>
      </c>
      <c r="L36" s="2">
        <f t="shared" si="12"/>
        <v>2.8700128884689784</v>
      </c>
      <c r="M36" s="2">
        <f t="shared" si="13"/>
        <v>4.5611757814484608E-2</v>
      </c>
      <c r="N36" s="1">
        <f t="shared" si="14"/>
        <v>0.04</v>
      </c>
      <c r="O36" s="1">
        <f t="shared" si="0"/>
        <v>3.1290369713070327</v>
      </c>
    </row>
    <row r="37" spans="1:15" x14ac:dyDescent="0.25">
      <c r="A37" s="1">
        <f t="shared" si="1"/>
        <v>35</v>
      </c>
      <c r="B37" s="1">
        <f t="shared" si="2"/>
        <v>0.3</v>
      </c>
      <c r="C37" s="1">
        <f t="shared" si="3"/>
        <v>0.2</v>
      </c>
      <c r="D37" s="1">
        <f t="shared" si="4"/>
        <v>0.05</v>
      </c>
      <c r="E37" s="1">
        <f t="shared" si="5"/>
        <v>0.03</v>
      </c>
      <c r="F37" s="1">
        <f t="shared" si="6"/>
        <v>0.01</v>
      </c>
      <c r="G37" s="2">
        <f t="shared" si="7"/>
        <v>11.703972081473786</v>
      </c>
      <c r="H37" s="2">
        <f t="shared" si="8"/>
        <v>2.8576511180631727</v>
      </c>
      <c r="I37" s="2">
        <f t="shared" si="9"/>
        <v>1.419067548593252</v>
      </c>
      <c r="J37" s="2">
        <f t="shared" si="10"/>
        <v>5.5732506508216</v>
      </c>
      <c r="K37" s="2">
        <f t="shared" si="11"/>
        <v>3.927403354651064</v>
      </c>
      <c r="L37" s="2">
        <f t="shared" si="12"/>
        <v>2.8861639813487616</v>
      </c>
      <c r="M37" s="2">
        <f t="shared" si="13"/>
        <v>4.5236909521400845E-2</v>
      </c>
      <c r="N37" s="1">
        <f t="shared" si="14"/>
        <v>0.04</v>
      </c>
      <c r="O37" s="1">
        <f t="shared" si="0"/>
        <v>3.1290369713070327</v>
      </c>
    </row>
    <row r="38" spans="1:15" x14ac:dyDescent="0.25">
      <c r="A38" s="1">
        <f t="shared" si="1"/>
        <v>36</v>
      </c>
      <c r="B38" s="1">
        <f t="shared" si="2"/>
        <v>0.3</v>
      </c>
      <c r="C38" s="1">
        <f t="shared" si="3"/>
        <v>0.2</v>
      </c>
      <c r="D38" s="1">
        <f t="shared" si="4"/>
        <v>0.05</v>
      </c>
      <c r="E38" s="1">
        <f t="shared" si="5"/>
        <v>0.03</v>
      </c>
      <c r="F38" s="1">
        <f t="shared" si="6"/>
        <v>0.01</v>
      </c>
      <c r="G38" s="2">
        <f t="shared" si="7"/>
        <v>12.245581620074921</v>
      </c>
      <c r="H38" s="2">
        <f t="shared" si="8"/>
        <v>2.9446795510655335</v>
      </c>
      <c r="I38" s="2">
        <f t="shared" si="9"/>
        <v>1.4333294145603348</v>
      </c>
      <c r="J38" s="2">
        <f t="shared" si="10"/>
        <v>5.8098198085034003</v>
      </c>
      <c r="K38" s="2">
        <f t="shared" si="11"/>
        <v>4.0533737391313691</v>
      </c>
      <c r="L38" s="2">
        <f t="shared" si="12"/>
        <v>2.9013182070033379</v>
      </c>
      <c r="M38" s="2">
        <f t="shared" si="13"/>
        <v>4.4888425699258147E-2</v>
      </c>
      <c r="N38" s="1">
        <f t="shared" si="14"/>
        <v>0.04</v>
      </c>
      <c r="O38" s="1">
        <f t="shared" si="0"/>
        <v>3.1290369713070327</v>
      </c>
    </row>
    <row r="39" spans="1:15" x14ac:dyDescent="0.25">
      <c r="A39" s="1">
        <f t="shared" si="1"/>
        <v>37</v>
      </c>
      <c r="B39" s="1">
        <f t="shared" si="2"/>
        <v>0.3</v>
      </c>
      <c r="C39" s="1">
        <f t="shared" si="3"/>
        <v>0.2</v>
      </c>
      <c r="D39" s="1">
        <f t="shared" si="4"/>
        <v>0.05</v>
      </c>
      <c r="E39" s="1">
        <f t="shared" si="5"/>
        <v>0.03</v>
      </c>
      <c r="F39" s="1">
        <f t="shared" si="6"/>
        <v>0.01</v>
      </c>
      <c r="G39" s="2">
        <f t="shared" si="7"/>
        <v>12.807790435398676</v>
      </c>
      <c r="H39" s="2">
        <f t="shared" si="8"/>
        <v>3.0343583944356856</v>
      </c>
      <c r="I39" s="2">
        <f t="shared" si="9"/>
        <v>1.4477346146633188</v>
      </c>
      <c r="J39" s="2">
        <f t="shared" si="10"/>
        <v>6.0557975387717846</v>
      </c>
      <c r="K39" s="2">
        <f t="shared" si="11"/>
        <v>4.182947259418885</v>
      </c>
      <c r="L39" s="2">
        <f t="shared" si="12"/>
        <v>2.915535808018463</v>
      </c>
      <c r="M39" s="2">
        <f t="shared" si="13"/>
        <v>4.456428209559915E-2</v>
      </c>
      <c r="N39" s="1">
        <f t="shared" si="14"/>
        <v>0.04</v>
      </c>
      <c r="O39" s="1">
        <f t="shared" si="0"/>
        <v>3.1290369713070327</v>
      </c>
    </row>
    <row r="40" spans="1:15" x14ac:dyDescent="0.25">
      <c r="A40" s="1">
        <f t="shared" si="1"/>
        <v>38</v>
      </c>
      <c r="B40" s="1">
        <f t="shared" si="2"/>
        <v>0.3</v>
      </c>
      <c r="C40" s="1">
        <f t="shared" si="3"/>
        <v>0.2</v>
      </c>
      <c r="D40" s="1">
        <f t="shared" si="4"/>
        <v>0.05</v>
      </c>
      <c r="E40" s="1">
        <f t="shared" si="5"/>
        <v>0.03</v>
      </c>
      <c r="F40" s="1">
        <f t="shared" si="6"/>
        <v>0.01</v>
      </c>
      <c r="G40" s="2">
        <f t="shared" si="7"/>
        <v>13.391469444925518</v>
      </c>
      <c r="H40" s="2">
        <f t="shared" si="8"/>
        <v>3.1267683651861664</v>
      </c>
      <c r="I40" s="2">
        <f t="shared" si="9"/>
        <v>1.4622845894342187</v>
      </c>
      <c r="J40" s="2">
        <f t="shared" si="10"/>
        <v>6.3115757541298541</v>
      </c>
      <c r="K40" s="2">
        <f t="shared" si="11"/>
        <v>4.316243089569797</v>
      </c>
      <c r="L40" s="2">
        <f t="shared" si="12"/>
        <v>2.9288735513625901</v>
      </c>
      <c r="M40" s="2">
        <f t="shared" si="13"/>
        <v>4.4262631596736754E-2</v>
      </c>
      <c r="N40" s="1">
        <f t="shared" si="14"/>
        <v>0.04</v>
      </c>
      <c r="O40" s="1">
        <f t="shared" si="0"/>
        <v>3.1290369713070327</v>
      </c>
    </row>
    <row r="41" spans="1:15" x14ac:dyDescent="0.25">
      <c r="A41" s="1">
        <f t="shared" si="1"/>
        <v>39</v>
      </c>
      <c r="B41" s="1">
        <f t="shared" si="2"/>
        <v>0.3</v>
      </c>
      <c r="C41" s="1">
        <f t="shared" si="3"/>
        <v>0.2</v>
      </c>
      <c r="D41" s="1">
        <f t="shared" si="4"/>
        <v>0.05</v>
      </c>
      <c r="E41" s="1">
        <f t="shared" si="5"/>
        <v>0.03</v>
      </c>
      <c r="F41" s="1">
        <f t="shared" si="6"/>
        <v>0.01</v>
      </c>
      <c r="G41" s="2">
        <f t="shared" si="7"/>
        <v>13.997524985612369</v>
      </c>
      <c r="H41" s="2">
        <f t="shared" si="8"/>
        <v>3.2219926385285111</v>
      </c>
      <c r="I41" s="2">
        <f t="shared" si="9"/>
        <v>1.4769807938826365</v>
      </c>
      <c r="J41" s="2">
        <f t="shared" si="10"/>
        <v>6.5775619882378571</v>
      </c>
      <c r="K41" s="2">
        <f t="shared" si="11"/>
        <v>4.4533835615742756</v>
      </c>
      <c r="L41" s="2">
        <f t="shared" si="12"/>
        <v>2.9413849070111264</v>
      </c>
      <c r="M41" s="2">
        <f t="shared" si="13"/>
        <v>4.3981785994291617E-2</v>
      </c>
      <c r="N41" s="1">
        <f t="shared" si="14"/>
        <v>0.04</v>
      </c>
      <c r="O41" s="1">
        <f t="shared" si="0"/>
        <v>3.1290369713070327</v>
      </c>
    </row>
    <row r="42" spans="1:15" x14ac:dyDescent="0.25">
      <c r="A42" s="1">
        <f t="shared" si="1"/>
        <v>40</v>
      </c>
      <c r="B42" s="1">
        <f t="shared" si="2"/>
        <v>0.3</v>
      </c>
      <c r="C42" s="1">
        <f t="shared" si="3"/>
        <v>0.2</v>
      </c>
      <c r="D42" s="1">
        <f t="shared" si="4"/>
        <v>0.05</v>
      </c>
      <c r="E42" s="1">
        <f t="shared" si="5"/>
        <v>0.03</v>
      </c>
      <c r="F42" s="1">
        <f t="shared" si="6"/>
        <v>0.01</v>
      </c>
      <c r="G42" s="2">
        <f t="shared" si="7"/>
        <v>14.626900205204958</v>
      </c>
      <c r="H42" s="2">
        <f t="shared" si="8"/>
        <v>3.3201169227365592</v>
      </c>
      <c r="I42" s="2">
        <f t="shared" si="9"/>
        <v>1.4918246976412639</v>
      </c>
      <c r="J42" s="2">
        <f t="shared" si="10"/>
        <v>6.8541800605042065</v>
      </c>
      <c r="K42" s="2">
        <f t="shared" si="11"/>
        <v>4.5944942936937601</v>
      </c>
      <c r="L42" s="2">
        <f t="shared" si="12"/>
        <v>2.9531202204861939</v>
      </c>
      <c r="M42" s="2">
        <f t="shared" si="13"/>
        <v>4.3720199965063808E-2</v>
      </c>
      <c r="N42" s="1">
        <f t="shared" si="14"/>
        <v>0.04</v>
      </c>
      <c r="O42" s="1">
        <f t="shared" si="0"/>
        <v>3.1290369713070327</v>
      </c>
    </row>
    <row r="43" spans="1:15" x14ac:dyDescent="0.25">
      <c r="A43" s="1">
        <f t="shared" si="1"/>
        <v>41</v>
      </c>
      <c r="B43" s="1">
        <f t="shared" si="2"/>
        <v>0.3</v>
      </c>
      <c r="C43" s="1">
        <f t="shared" si="3"/>
        <v>0.2</v>
      </c>
      <c r="D43" s="1">
        <f t="shared" si="4"/>
        <v>0.05</v>
      </c>
      <c r="E43" s="1">
        <f t="shared" si="5"/>
        <v>0.03</v>
      </c>
      <c r="F43" s="1">
        <f t="shared" si="6"/>
        <v>0.01</v>
      </c>
      <c r="G43" s="2">
        <f t="shared" si="7"/>
        <v>15.280576517110873</v>
      </c>
      <c r="H43" s="2">
        <f t="shared" si="8"/>
        <v>3.4212295362896858</v>
      </c>
      <c r="I43" s="2">
        <f t="shared" si="9"/>
        <v>1.506817785112847</v>
      </c>
      <c r="J43" s="2">
        <f t="shared" si="10"/>
        <v>7.1418707651719462</v>
      </c>
      <c r="K43" s="2">
        <f t="shared" si="11"/>
        <v>4.7397043197476494</v>
      </c>
      <c r="L43" s="2">
        <f t="shared" si="12"/>
        <v>2.9641268790183792</v>
      </c>
      <c r="M43" s="2">
        <f t="shared" si="13"/>
        <v>4.3476456954024315E-2</v>
      </c>
      <c r="N43" s="1">
        <f t="shared" si="14"/>
        <v>0.04</v>
      </c>
      <c r="O43" s="1">
        <f t="shared" si="0"/>
        <v>3.1290369713070327</v>
      </c>
    </row>
    <row r="44" spans="1:15" x14ac:dyDescent="0.25">
      <c r="A44" s="1">
        <f t="shared" si="1"/>
        <v>42</v>
      </c>
      <c r="B44" s="1">
        <f t="shared" si="2"/>
        <v>0.3</v>
      </c>
      <c r="C44" s="1">
        <f t="shared" si="3"/>
        <v>0.2</v>
      </c>
      <c r="D44" s="1">
        <f t="shared" si="4"/>
        <v>0.05</v>
      </c>
      <c r="E44" s="1">
        <f t="shared" si="5"/>
        <v>0.03</v>
      </c>
      <c r="F44" s="1">
        <f t="shared" si="6"/>
        <v>0.01</v>
      </c>
      <c r="G44" s="2">
        <f t="shared" si="7"/>
        <v>15.959575120712254</v>
      </c>
      <c r="H44" s="2">
        <f t="shared" si="8"/>
        <v>3.5254214873653953</v>
      </c>
      <c r="I44" s="2">
        <f t="shared" si="9"/>
        <v>1.521961555618627</v>
      </c>
      <c r="J44" s="2">
        <f t="shared" si="10"/>
        <v>7.4410925862028723</v>
      </c>
      <c r="K44" s="2">
        <f t="shared" si="11"/>
        <v>4.8891462197140152</v>
      </c>
      <c r="L44" s="2">
        <f t="shared" si="12"/>
        <v>2.9744494711467913</v>
      </c>
      <c r="M44" s="2">
        <f t="shared" si="13"/>
        <v>4.3249256699144326E-2</v>
      </c>
      <c r="N44" s="1">
        <f t="shared" si="14"/>
        <v>0.04</v>
      </c>
      <c r="O44" s="1">
        <f t="shared" si="0"/>
        <v>3.1290369713070327</v>
      </c>
    </row>
    <row r="45" spans="1:15" x14ac:dyDescent="0.25">
      <c r="A45" s="1">
        <f t="shared" si="1"/>
        <v>43</v>
      </c>
      <c r="B45" s="1">
        <f t="shared" si="2"/>
        <v>0.3</v>
      </c>
      <c r="C45" s="1">
        <f t="shared" si="3"/>
        <v>0.2</v>
      </c>
      <c r="D45" s="1">
        <f t="shared" si="4"/>
        <v>0.05</v>
      </c>
      <c r="E45" s="1">
        <f t="shared" si="5"/>
        <v>0.03</v>
      </c>
      <c r="F45" s="1">
        <f t="shared" si="6"/>
        <v>0.01</v>
      </c>
      <c r="G45" s="2">
        <f t="shared" si="7"/>
        <v>16.664958589151091</v>
      </c>
      <c r="H45" s="2">
        <f t="shared" si="8"/>
        <v>3.6327865557528227</v>
      </c>
      <c r="I45" s="2">
        <f t="shared" si="9"/>
        <v>1.5372575235482744</v>
      </c>
      <c r="J45" s="2">
        <f t="shared" si="10"/>
        <v>7.7523224392749333</v>
      </c>
      <c r="K45" s="2">
        <f t="shared" si="11"/>
        <v>5.0429562519760127</v>
      </c>
      <c r="L45" s="2">
        <f t="shared" si="12"/>
        <v>2.9841299396638412</v>
      </c>
      <c r="M45" s="2">
        <f t="shared" si="13"/>
        <v>4.3037404177190181E-2</v>
      </c>
      <c r="N45" s="1">
        <f t="shared" si="14"/>
        <v>0.04</v>
      </c>
      <c r="O45" s="1">
        <f t="shared" si="0"/>
        <v>3.1290369713070327</v>
      </c>
    </row>
    <row r="46" spans="1:15" x14ac:dyDescent="0.25">
      <c r="A46" s="1">
        <f t="shared" si="1"/>
        <v>44</v>
      </c>
      <c r="B46" s="1">
        <f t="shared" si="2"/>
        <v>0.3</v>
      </c>
      <c r="C46" s="1">
        <f t="shared" si="3"/>
        <v>0.2</v>
      </c>
      <c r="D46" s="1">
        <f t="shared" si="4"/>
        <v>0.05</v>
      </c>
      <c r="E46" s="1">
        <f t="shared" si="5"/>
        <v>0.03</v>
      </c>
      <c r="F46" s="1">
        <f t="shared" si="6"/>
        <v>0.01</v>
      </c>
      <c r="G46" s="2">
        <f t="shared" si="7"/>
        <v>17.397832526771317</v>
      </c>
      <c r="H46" s="2">
        <f t="shared" si="8"/>
        <v>3.7434213772608769</v>
      </c>
      <c r="I46" s="2">
        <f t="shared" si="9"/>
        <v>1.5527072185113289</v>
      </c>
      <c r="J46" s="2">
        <f t="shared" si="10"/>
        <v>8.0760564422283547</v>
      </c>
      <c r="K46" s="2">
        <f t="shared" si="11"/>
        <v>5.2012744875182211</v>
      </c>
      <c r="L46" s="2">
        <f t="shared" si="12"/>
        <v>2.9932077278846125</v>
      </c>
      <c r="M46" s="2">
        <f t="shared" si="13"/>
        <v>4.2839799783118235E-2</v>
      </c>
      <c r="N46" s="1">
        <f t="shared" si="14"/>
        <v>0.04</v>
      </c>
      <c r="O46" s="1">
        <f t="shared" si="0"/>
        <v>3.1290369713070327</v>
      </c>
    </row>
    <row r="47" spans="1:15" x14ac:dyDescent="0.25">
      <c r="A47" s="1">
        <f t="shared" si="1"/>
        <v>45</v>
      </c>
      <c r="B47" s="1">
        <f t="shared" si="2"/>
        <v>0.3</v>
      </c>
      <c r="C47" s="1">
        <f t="shared" si="3"/>
        <v>0.2</v>
      </c>
      <c r="D47" s="1">
        <f t="shared" si="4"/>
        <v>0.05</v>
      </c>
      <c r="E47" s="1">
        <f t="shared" si="5"/>
        <v>0.03</v>
      </c>
      <c r="F47" s="1">
        <f t="shared" si="6"/>
        <v>0.01</v>
      </c>
      <c r="G47" s="2">
        <f t="shared" si="7"/>
        <v>18.159347298551321</v>
      </c>
      <c r="H47" s="2">
        <f t="shared" si="8"/>
        <v>3.8574255306969896</v>
      </c>
      <c r="I47" s="2">
        <f t="shared" si="9"/>
        <v>1.5683121854901614</v>
      </c>
      <c r="J47" s="2">
        <f t="shared" si="10"/>
        <v>8.4128107153214007</v>
      </c>
      <c r="K47" s="2">
        <f t="shared" si="11"/>
        <v>5.3642449463542583</v>
      </c>
      <c r="L47" s="2">
        <f t="shared" si="12"/>
        <v>3.0017199192802066</v>
      </c>
      <c r="M47" s="2">
        <f t="shared" si="13"/>
        <v>4.2655430583593085E-2</v>
      </c>
      <c r="N47" s="1">
        <f t="shared" si="14"/>
        <v>0.04</v>
      </c>
      <c r="O47" s="1">
        <f t="shared" si="0"/>
        <v>3.1290369713070327</v>
      </c>
    </row>
    <row r="48" spans="1:15" x14ac:dyDescent="0.25">
      <c r="A48" s="1">
        <f t="shared" si="1"/>
        <v>46</v>
      </c>
      <c r="B48" s="1">
        <f t="shared" si="2"/>
        <v>0.3</v>
      </c>
      <c r="C48" s="1">
        <f t="shared" si="3"/>
        <v>0.2</v>
      </c>
      <c r="D48" s="1">
        <f t="shared" si="4"/>
        <v>0.05</v>
      </c>
      <c r="E48" s="1">
        <f t="shared" si="5"/>
        <v>0.03</v>
      </c>
      <c r="F48" s="1">
        <f t="shared" si="6"/>
        <v>0.01</v>
      </c>
      <c r="G48" s="2">
        <f t="shared" si="7"/>
        <v>18.950699834009168</v>
      </c>
      <c r="H48" s="2">
        <f t="shared" si="8"/>
        <v>3.9749016274947642</v>
      </c>
      <c r="I48" s="2">
        <f t="shared" si="9"/>
        <v>1.584073984994474</v>
      </c>
      <c r="J48" s="2">
        <f t="shared" si="10"/>
        <v>8.7631222126875823</v>
      </c>
      <c r="K48" s="2">
        <f t="shared" si="11"/>
        <v>5.5320157364481632</v>
      </c>
      <c r="L48" s="2">
        <f t="shared" si="12"/>
        <v>3.0097013705621878</v>
      </c>
      <c r="M48" s="2">
        <f t="shared" si="13"/>
        <v>4.248336250845125E-2</v>
      </c>
      <c r="N48" s="1">
        <f t="shared" si="14"/>
        <v>0.04</v>
      </c>
      <c r="O48" s="1">
        <f t="shared" si="0"/>
        <v>3.1290369713070327</v>
      </c>
    </row>
    <row r="49" spans="1:15" x14ac:dyDescent="0.25">
      <c r="A49" s="1">
        <f t="shared" si="1"/>
        <v>47</v>
      </c>
      <c r="B49" s="1">
        <f t="shared" si="2"/>
        <v>0.3</v>
      </c>
      <c r="C49" s="1">
        <f t="shared" si="3"/>
        <v>0.2</v>
      </c>
      <c r="D49" s="1">
        <f t="shared" si="4"/>
        <v>0.05</v>
      </c>
      <c r="E49" s="1">
        <f t="shared" si="5"/>
        <v>0.03</v>
      </c>
      <c r="F49" s="1">
        <f t="shared" si="6"/>
        <v>0.01</v>
      </c>
      <c r="G49" s="2">
        <f t="shared" si="7"/>
        <v>19.773135508211574</v>
      </c>
      <c r="H49" s="2">
        <f t="shared" si="8"/>
        <v>4.0959554040711934</v>
      </c>
      <c r="I49" s="2">
        <f t="shared" si="9"/>
        <v>1.5999941932173523</v>
      </c>
      <c r="J49" s="2">
        <f t="shared" si="10"/>
        <v>9.1275495864212743</v>
      </c>
      <c r="K49" s="2">
        <f t="shared" si="11"/>
        <v>5.7047391953761526</v>
      </c>
      <c r="L49" s="2">
        <f t="shared" si="12"/>
        <v>3.0171848383432018</v>
      </c>
      <c r="M49" s="2">
        <f t="shared" si="13"/>
        <v>4.2322733363463802E-2</v>
      </c>
      <c r="N49" s="1">
        <f t="shared" si="14"/>
        <v>0.04</v>
      </c>
      <c r="O49" s="1">
        <f t="shared" si="0"/>
        <v>3.1290369713070327</v>
      </c>
    </row>
    <row r="50" spans="1:15" x14ac:dyDescent="0.25">
      <c r="A50" s="1">
        <f t="shared" si="1"/>
        <v>48</v>
      </c>
      <c r="B50" s="1">
        <f t="shared" si="2"/>
        <v>0.3</v>
      </c>
      <c r="C50" s="1">
        <f t="shared" si="3"/>
        <v>0.2</v>
      </c>
      <c r="D50" s="1">
        <f t="shared" si="4"/>
        <v>0.05</v>
      </c>
      <c r="E50" s="1">
        <f t="shared" si="5"/>
        <v>0.03</v>
      </c>
      <c r="F50" s="1">
        <f t="shared" si="6"/>
        <v>0.01</v>
      </c>
      <c r="G50" s="2">
        <f t="shared" si="7"/>
        <v>20.627950102667192</v>
      </c>
      <c r="H50" s="2">
        <f t="shared" si="8"/>
        <v>4.2206958169965709</v>
      </c>
      <c r="I50" s="2">
        <f t="shared" si="9"/>
        <v>1.6160744021928852</v>
      </c>
      <c r="J50" s="2">
        <f t="shared" si="10"/>
        <v>9.5066740847587923</v>
      </c>
      <c r="K50" s="2">
        <f t="shared" si="11"/>
        <v>5.8825720349626147</v>
      </c>
      <c r="L50" s="2">
        <f t="shared" si="12"/>
        <v>3.0242010995284834</v>
      </c>
      <c r="M50" s="2">
        <f t="shared" si="13"/>
        <v>4.2172746564183114E-2</v>
      </c>
      <c r="N50" s="1">
        <f t="shared" si="14"/>
        <v>0.04</v>
      </c>
      <c r="O50" s="1">
        <f t="shared" si="0"/>
        <v>3.1290369713070327</v>
      </c>
    </row>
    <row r="51" spans="1:15" x14ac:dyDescent="0.25">
      <c r="A51" s="1">
        <f t="shared" si="1"/>
        <v>49</v>
      </c>
      <c r="B51" s="1">
        <f t="shared" si="2"/>
        <v>0.3</v>
      </c>
      <c r="C51" s="1">
        <f t="shared" si="3"/>
        <v>0.2</v>
      </c>
      <c r="D51" s="1">
        <f t="shared" si="4"/>
        <v>0.05</v>
      </c>
      <c r="E51" s="1">
        <f t="shared" si="5"/>
        <v>0.03</v>
      </c>
      <c r="F51" s="1">
        <f t="shared" si="6"/>
        <v>0.01</v>
      </c>
      <c r="G51" s="2">
        <f t="shared" si="7"/>
        <v>21.516491849035678</v>
      </c>
      <c r="H51" s="2">
        <f t="shared" si="8"/>
        <v>4.3492351410627599</v>
      </c>
      <c r="I51" s="2">
        <f t="shared" si="9"/>
        <v>1.6323162199553705</v>
      </c>
      <c r="J51" s="2">
        <f t="shared" si="10"/>
        <v>9.9011004858656371</v>
      </c>
      <c r="K51" s="2">
        <f t="shared" si="11"/>
        <v>6.0656754891134668</v>
      </c>
      <c r="L51" s="2">
        <f t="shared" si="12"/>
        <v>3.0307790656157039</v>
      </c>
      <c r="M51" s="2">
        <f t="shared" si="13"/>
        <v>4.2032665504524488E-2</v>
      </c>
      <c r="N51" s="1">
        <f t="shared" si="14"/>
        <v>0.04</v>
      </c>
      <c r="O51" s="1">
        <f t="shared" si="0"/>
        <v>3.1290369713070327</v>
      </c>
    </row>
    <row r="52" spans="1:15" x14ac:dyDescent="0.25">
      <c r="A52" s="1">
        <f t="shared" si="1"/>
        <v>50</v>
      </c>
      <c r="B52" s="1">
        <f t="shared" si="2"/>
        <v>0.3</v>
      </c>
      <c r="C52" s="1">
        <f t="shared" si="3"/>
        <v>0.2</v>
      </c>
      <c r="D52" s="1">
        <f t="shared" si="4"/>
        <v>0.05</v>
      </c>
      <c r="E52" s="1">
        <f t="shared" si="5"/>
        <v>0.03</v>
      </c>
      <c r="F52" s="1">
        <f t="shared" si="6"/>
        <v>0.01</v>
      </c>
      <c r="G52" s="2">
        <f t="shared" si="7"/>
        <v>22.440163558737275</v>
      </c>
      <c r="H52" s="2">
        <f t="shared" si="8"/>
        <v>4.4816890703380849</v>
      </c>
      <c r="I52" s="2">
        <f t="shared" si="9"/>
        <v>1.6487212707001193</v>
      </c>
      <c r="J52" s="2">
        <f t="shared" si="10"/>
        <v>10.311458068788628</v>
      </c>
      <c r="K52" s="2">
        <f t="shared" si="11"/>
        <v>6.2542154650615576</v>
      </c>
      <c r="L52" s="2">
        <f t="shared" si="12"/>
        <v>3.0369458910976261</v>
      </c>
      <c r="M52" s="2">
        <f t="shared" si="13"/>
        <v>4.1901808485471356E-2</v>
      </c>
      <c r="N52" s="1">
        <f t="shared" si="14"/>
        <v>0.04</v>
      </c>
      <c r="O52" s="1">
        <f t="shared" si="0"/>
        <v>3.1290369713070327</v>
      </c>
    </row>
    <row r="53" spans="1:15" x14ac:dyDescent="0.25">
      <c r="A53" s="1">
        <f t="shared" si="1"/>
        <v>51</v>
      </c>
      <c r="B53" s="1">
        <f t="shared" si="2"/>
        <v>0.3</v>
      </c>
      <c r="C53" s="1">
        <f t="shared" si="3"/>
        <v>0.2</v>
      </c>
      <c r="D53" s="1">
        <f t="shared" si="4"/>
        <v>0.05</v>
      </c>
      <c r="E53" s="1">
        <f t="shared" si="5"/>
        <v>0.03</v>
      </c>
      <c r="F53" s="1">
        <f t="shared" si="6"/>
        <v>0.01</v>
      </c>
      <c r="G53" s="2">
        <f t="shared" si="7"/>
        <v>23.400424841703213</v>
      </c>
      <c r="H53" s="2">
        <f t="shared" si="8"/>
        <v>4.6181768222998016</v>
      </c>
      <c r="I53" s="2">
        <f t="shared" si="9"/>
        <v>1.6652911949458773</v>
      </c>
      <c r="J53" s="2">
        <f t="shared" si="10"/>
        <v>10.738401623183012</v>
      </c>
      <c r="K53" s="2">
        <f t="shared" si="11"/>
        <v>6.448362698231894</v>
      </c>
      <c r="L53" s="2">
        <f t="shared" si="12"/>
        <v>3.0427270761741654</v>
      </c>
      <c r="M53" s="2">
        <f t="shared" si="13"/>
        <v>4.1779544139262839E-2</v>
      </c>
      <c r="N53" s="1">
        <f t="shared" si="14"/>
        <v>0.04</v>
      </c>
      <c r="O53" s="1">
        <f t="shared" si="0"/>
        <v>3.1290369713070327</v>
      </c>
    </row>
    <row r="54" spans="1:15" x14ac:dyDescent="0.25">
      <c r="A54" s="1">
        <f t="shared" si="1"/>
        <v>52</v>
      </c>
      <c r="B54" s="1">
        <f t="shared" si="2"/>
        <v>0.3</v>
      </c>
      <c r="C54" s="1">
        <f t="shared" si="3"/>
        <v>0.2</v>
      </c>
      <c r="D54" s="1">
        <f t="shared" si="4"/>
        <v>0.05</v>
      </c>
      <c r="E54" s="1">
        <f t="shared" si="5"/>
        <v>0.03</v>
      </c>
      <c r="F54" s="1">
        <f t="shared" si="6"/>
        <v>0.01</v>
      </c>
      <c r="G54" s="2">
        <f t="shared" si="7"/>
        <v>24.398794417666316</v>
      </c>
      <c r="H54" s="2">
        <f t="shared" si="8"/>
        <v>4.7588212451378755</v>
      </c>
      <c r="I54" s="2">
        <f t="shared" si="9"/>
        <v>1.6820276496988771</v>
      </c>
      <c r="J54" s="2">
        <f t="shared" si="10"/>
        <v>11.182612499480008</v>
      </c>
      <c r="K54" s="2">
        <f t="shared" si="11"/>
        <v>6.6482929109292357</v>
      </c>
      <c r="L54" s="2">
        <f t="shared" si="12"/>
        <v>3.0481465639886443</v>
      </c>
      <c r="M54" s="2">
        <f t="shared" si="13"/>
        <v>4.166528729290879E-2</v>
      </c>
      <c r="N54" s="1">
        <f t="shared" si="14"/>
        <v>0.04</v>
      </c>
      <c r="O54" s="1">
        <f t="shared" si="0"/>
        <v>3.1290369713070327</v>
      </c>
    </row>
    <row r="55" spans="1:15" x14ac:dyDescent="0.25">
      <c r="A55" s="1">
        <f t="shared" si="1"/>
        <v>53</v>
      </c>
      <c r="B55" s="1">
        <f t="shared" si="2"/>
        <v>0.3</v>
      </c>
      <c r="C55" s="1">
        <f t="shared" si="3"/>
        <v>0.2</v>
      </c>
      <c r="D55" s="1">
        <f t="shared" si="4"/>
        <v>0.05</v>
      </c>
      <c r="E55" s="1">
        <f t="shared" si="5"/>
        <v>0.03</v>
      </c>
      <c r="F55" s="1">
        <f t="shared" si="6"/>
        <v>0.01</v>
      </c>
      <c r="G55" s="2">
        <f t="shared" si="7"/>
        <v>25.436852523553803</v>
      </c>
      <c r="H55" s="2">
        <f t="shared" si="8"/>
        <v>4.9037489283266451</v>
      </c>
      <c r="I55" s="2">
        <f t="shared" si="9"/>
        <v>1.6989323086185411</v>
      </c>
      <c r="J55" s="2">
        <f t="shared" si="10"/>
        <v>11.644799701218925</v>
      </c>
      <c r="K55" s="2">
        <f t="shared" si="11"/>
        <v>6.8541869750465239</v>
      </c>
      <c r="L55" s="2">
        <f t="shared" si="12"/>
        <v>3.0532268326079239</v>
      </c>
      <c r="M55" s="2">
        <f t="shared" si="13"/>
        <v>4.1558495222128386E-2</v>
      </c>
      <c r="N55" s="1">
        <f t="shared" si="14"/>
        <v>0.04</v>
      </c>
      <c r="O55" s="1">
        <f t="shared" si="0"/>
        <v>3.1290369713070327</v>
      </c>
    </row>
    <row r="56" spans="1:15" x14ac:dyDescent="0.25">
      <c r="A56" s="1">
        <f t="shared" si="1"/>
        <v>54</v>
      </c>
      <c r="B56" s="1">
        <f t="shared" si="2"/>
        <v>0.3</v>
      </c>
      <c r="C56" s="1">
        <f t="shared" si="3"/>
        <v>0.2</v>
      </c>
      <c r="D56" s="1">
        <f t="shared" si="4"/>
        <v>0.05</v>
      </c>
      <c r="E56" s="1">
        <f t="shared" si="5"/>
        <v>0.03</v>
      </c>
      <c r="F56" s="1">
        <f t="shared" si="6"/>
        <v>0.01</v>
      </c>
      <c r="G56" s="2">
        <f t="shared" si="7"/>
        <v>26.516243420711</v>
      </c>
      <c r="H56" s="2">
        <f t="shared" si="8"/>
        <v>5.0530903165638916</v>
      </c>
      <c r="I56" s="2">
        <f t="shared" si="9"/>
        <v>1.7160068621848485</v>
      </c>
      <c r="J56" s="2">
        <f t="shared" si="10"/>
        <v>12.125701021330306</v>
      </c>
      <c r="K56" s="2">
        <f t="shared" si="11"/>
        <v>7.0662310789897784</v>
      </c>
      <c r="L56" s="2">
        <f t="shared" si="12"/>
        <v>3.057988981968228</v>
      </c>
      <c r="M56" s="2">
        <f t="shared" si="13"/>
        <v>4.145866425301635E-2</v>
      </c>
      <c r="N56" s="1">
        <f t="shared" si="14"/>
        <v>0.04</v>
      </c>
      <c r="O56" s="1">
        <f t="shared" si="0"/>
        <v>3.1290369713070327</v>
      </c>
    </row>
    <row r="57" spans="1:15" x14ac:dyDescent="0.25">
      <c r="A57" s="1">
        <f t="shared" si="1"/>
        <v>55</v>
      </c>
      <c r="B57" s="1">
        <f t="shared" si="2"/>
        <v>0.3</v>
      </c>
      <c r="C57" s="1">
        <f t="shared" si="3"/>
        <v>0.2</v>
      </c>
      <c r="D57" s="1">
        <f t="shared" si="4"/>
        <v>0.05</v>
      </c>
      <c r="E57" s="1">
        <f t="shared" si="5"/>
        <v>0.03</v>
      </c>
      <c r="F57" s="1">
        <f t="shared" si="6"/>
        <v>0.01</v>
      </c>
      <c r="G57" s="2">
        <f t="shared" si="7"/>
        <v>27.638678005856185</v>
      </c>
      <c r="H57" s="2">
        <f t="shared" si="8"/>
        <v>5.2069798271798744</v>
      </c>
      <c r="I57" s="2">
        <f t="shared" si="9"/>
        <v>1.7332530178673851</v>
      </c>
      <c r="J57" s="2">
        <f t="shared" si="10"/>
        <v>12.626084224222408</v>
      </c>
      <c r="K57" s="2">
        <f t="shared" si="11"/>
        <v>7.2846168990132156</v>
      </c>
      <c r="L57" s="2">
        <f t="shared" si="12"/>
        <v>3.0624528160084399</v>
      </c>
      <c r="M57" s="2">
        <f t="shared" si="13"/>
        <v>4.1365326674069933E-2</v>
      </c>
      <c r="N57" s="1">
        <f t="shared" si="14"/>
        <v>0.04</v>
      </c>
      <c r="O57" s="1">
        <f t="shared" si="0"/>
        <v>3.1290369713070327</v>
      </c>
    </row>
    <row r="58" spans="1:15" x14ac:dyDescent="0.25">
      <c r="A58" s="1">
        <f t="shared" si="1"/>
        <v>56</v>
      </c>
      <c r="B58" s="1">
        <f t="shared" si="2"/>
        <v>0.3</v>
      </c>
      <c r="C58" s="1">
        <f t="shared" si="3"/>
        <v>0.2</v>
      </c>
      <c r="D58" s="1">
        <f t="shared" si="4"/>
        <v>0.05</v>
      </c>
      <c r="E58" s="1">
        <f t="shared" si="5"/>
        <v>0.03</v>
      </c>
      <c r="F58" s="1">
        <f t="shared" si="6"/>
        <v>0.01</v>
      </c>
      <c r="G58" s="2">
        <f t="shared" si="7"/>
        <v>28.805936529843095</v>
      </c>
      <c r="H58" s="2">
        <f t="shared" si="8"/>
        <v>5.365555971122002</v>
      </c>
      <c r="I58" s="2">
        <f t="shared" si="9"/>
        <v>1.7506725002960906</v>
      </c>
      <c r="J58" s="2">
        <f t="shared" si="10"/>
        <v>13.146748275592746</v>
      </c>
      <c r="K58" s="2">
        <f t="shared" si="11"/>
        <v>7.5095417751573992</v>
      </c>
      <c r="L58" s="2">
        <f t="shared" si="12"/>
        <v>3.066636920210783</v>
      </c>
      <c r="M58" s="2">
        <f t="shared" si="13"/>
        <v>4.1278047925799255E-2</v>
      </c>
      <c r="N58" s="1">
        <f t="shared" si="14"/>
        <v>0.04</v>
      </c>
      <c r="O58" s="1">
        <f t="shared" si="0"/>
        <v>3.1290369713070327</v>
      </c>
    </row>
    <row r="59" spans="1:15" x14ac:dyDescent="0.25">
      <c r="A59" s="1">
        <f t="shared" si="1"/>
        <v>57</v>
      </c>
      <c r="B59" s="1">
        <f t="shared" si="2"/>
        <v>0.3</v>
      </c>
      <c r="C59" s="1">
        <f t="shared" si="3"/>
        <v>0.2</v>
      </c>
      <c r="D59" s="1">
        <f t="shared" si="4"/>
        <v>0.05</v>
      </c>
      <c r="E59" s="1">
        <f t="shared" si="5"/>
        <v>0.03</v>
      </c>
      <c r="F59" s="1">
        <f t="shared" si="6"/>
        <v>0.01</v>
      </c>
      <c r="G59" s="2">
        <f t="shared" si="7"/>
        <v>30.019871428489598</v>
      </c>
      <c r="H59" s="2">
        <f t="shared" si="8"/>
        <v>5.5289614776240326</v>
      </c>
      <c r="I59" s="2">
        <f t="shared" si="9"/>
        <v>1.7682670514337244</v>
      </c>
      <c r="J59" s="2">
        <f t="shared" si="10"/>
        <v>13.688524621959186</v>
      </c>
      <c r="K59" s="2">
        <f t="shared" si="11"/>
        <v>7.7412088919829305</v>
      </c>
      <c r="L59" s="2">
        <f t="shared" si="12"/>
        <v>3.0705587347654895</v>
      </c>
      <c r="M59" s="2">
        <f t="shared" si="13"/>
        <v>4.1196424039101245E-2</v>
      </c>
      <c r="N59" s="1">
        <f t="shared" si="14"/>
        <v>0.04</v>
      </c>
      <c r="O59" s="1">
        <f t="shared" si="0"/>
        <v>3.1290369713070327</v>
      </c>
    </row>
    <row r="60" spans="1:15" x14ac:dyDescent="0.25">
      <c r="A60" s="1">
        <f t="shared" si="1"/>
        <v>58</v>
      </c>
      <c r="B60" s="1">
        <f t="shared" si="2"/>
        <v>0.3</v>
      </c>
      <c r="C60" s="1">
        <f t="shared" si="3"/>
        <v>0.2</v>
      </c>
      <c r="D60" s="1">
        <f t="shared" si="4"/>
        <v>0.05</v>
      </c>
      <c r="E60" s="1">
        <f t="shared" si="5"/>
        <v>0.03</v>
      </c>
      <c r="F60" s="1">
        <f t="shared" si="6"/>
        <v>0.01</v>
      </c>
      <c r="G60" s="2">
        <f t="shared" si="7"/>
        <v>31.282410269918739</v>
      </c>
      <c r="H60" s="2">
        <f t="shared" si="8"/>
        <v>5.697343422672021</v>
      </c>
      <c r="I60" s="2">
        <f t="shared" si="9"/>
        <v>1.7860384307500623</v>
      </c>
      <c r="J60" s="2">
        <f t="shared" si="10"/>
        <v>14.252278521981868</v>
      </c>
      <c r="K60" s="2">
        <f t="shared" si="11"/>
        <v>7.9798274642928595</v>
      </c>
      <c r="L60" s="2">
        <f t="shared" si="12"/>
        <v>3.0742346235716203</v>
      </c>
      <c r="M60" s="2">
        <f t="shared" si="13"/>
        <v>4.1120079297002926E-2</v>
      </c>
      <c r="N60" s="1">
        <f t="shared" si="14"/>
        <v>0.04</v>
      </c>
      <c r="O60" s="1">
        <f t="shared" si="0"/>
        <v>3.1290369713070327</v>
      </c>
    </row>
    <row r="61" spans="1:15" x14ac:dyDescent="0.25">
      <c r="A61" s="1">
        <f t="shared" si="1"/>
        <v>59</v>
      </c>
      <c r="B61" s="1">
        <f t="shared" si="2"/>
        <v>0.3</v>
      </c>
      <c r="C61" s="1">
        <f t="shared" si="3"/>
        <v>0.2</v>
      </c>
      <c r="D61" s="1">
        <f t="shared" si="4"/>
        <v>0.05</v>
      </c>
      <c r="E61" s="1">
        <f t="shared" si="5"/>
        <v>0.03</v>
      </c>
      <c r="F61" s="1">
        <f t="shared" si="6"/>
        <v>0.01</v>
      </c>
      <c r="G61" s="2">
        <f t="shared" si="7"/>
        <v>32.595558823052372</v>
      </c>
      <c r="H61" s="2">
        <f t="shared" si="8"/>
        <v>5.8708533613826326</v>
      </c>
      <c r="I61" s="2">
        <f t="shared" si="9"/>
        <v>1.8039884153978456</v>
      </c>
      <c r="J61" s="2">
        <f t="shared" si="10"/>
        <v>14.838910431727289</v>
      </c>
      <c r="K61" s="2">
        <f t="shared" si="11"/>
        <v>8.2256129280379913</v>
      </c>
      <c r="L61" s="2">
        <f t="shared" si="12"/>
        <v>3.0776799392808099</v>
      </c>
      <c r="M61" s="2">
        <f t="shared" si="13"/>
        <v>4.1048664097348461E-2</v>
      </c>
      <c r="N61" s="1">
        <f t="shared" si="14"/>
        <v>0.04</v>
      </c>
      <c r="O61" s="1">
        <f t="shared" si="0"/>
        <v>3.1290369713070327</v>
      </c>
    </row>
    <row r="62" spans="1:15" x14ac:dyDescent="0.25">
      <c r="A62" s="1">
        <f t="shared" si="1"/>
        <v>60</v>
      </c>
      <c r="B62" s="1">
        <f t="shared" si="2"/>
        <v>0.3</v>
      </c>
      <c r="C62" s="1">
        <f t="shared" si="3"/>
        <v>0.2</v>
      </c>
      <c r="D62" s="1">
        <f t="shared" si="4"/>
        <v>0.05</v>
      </c>
      <c r="E62" s="1">
        <f t="shared" si="5"/>
        <v>0.03</v>
      </c>
      <c r="F62" s="1">
        <f t="shared" si="6"/>
        <v>0.01</v>
      </c>
      <c r="G62" s="2">
        <f t="shared" si="7"/>
        <v>33.961404252098312</v>
      </c>
      <c r="H62" s="2">
        <f t="shared" si="8"/>
        <v>6.0496474644129794</v>
      </c>
      <c r="I62" s="2">
        <f t="shared" si="9"/>
        <v>1.8221188003904973</v>
      </c>
      <c r="J62" s="2">
        <f t="shared" si="10"/>
        <v>15.449357446109888</v>
      </c>
      <c r="K62" s="2">
        <f t="shared" si="11"/>
        <v>8.478787136601051</v>
      </c>
      <c r="L62" s="2">
        <f t="shared" si="12"/>
        <v>3.0809090845847122</v>
      </c>
      <c r="M62" s="2">
        <f t="shared" si="13"/>
        <v>4.0981852996584203E-2</v>
      </c>
      <c r="N62" s="1">
        <f t="shared" si="14"/>
        <v>0.04</v>
      </c>
      <c r="O62" s="1">
        <f t="shared" si="0"/>
        <v>3.1290369713070327</v>
      </c>
    </row>
    <row r="63" spans="1:15" x14ac:dyDescent="0.25">
      <c r="A63" s="1">
        <f t="shared" si="1"/>
        <v>61</v>
      </c>
      <c r="B63" s="1">
        <f t="shared" si="2"/>
        <v>0.3</v>
      </c>
      <c r="C63" s="1">
        <f t="shared" si="3"/>
        <v>0.2</v>
      </c>
      <c r="D63" s="1">
        <f t="shared" si="4"/>
        <v>0.05</v>
      </c>
      <c r="E63" s="1">
        <f t="shared" si="5"/>
        <v>0.03</v>
      </c>
      <c r="F63" s="1">
        <f t="shared" si="6"/>
        <v>0.01</v>
      </c>
      <c r="G63" s="2">
        <f t="shared" si="7"/>
        <v>35.382118442079658</v>
      </c>
      <c r="H63" s="2">
        <f t="shared" si="8"/>
        <v>6.2338866585247521</v>
      </c>
      <c r="I63" s="2">
        <f t="shared" si="9"/>
        <v>1.8404313987816254</v>
      </c>
      <c r="J63" s="2">
        <f t="shared" si="10"/>
        <v>16.084594798834424</v>
      </c>
      <c r="K63" s="2">
        <f t="shared" si="11"/>
        <v>8.7395785626579201</v>
      </c>
      <c r="L63" s="2">
        <f t="shared" si="12"/>
        <v>3.083935569940337</v>
      </c>
      <c r="M63" s="2">
        <f t="shared" si="13"/>
        <v>4.0919342917043369E-2</v>
      </c>
      <c r="N63" s="1">
        <f t="shared" si="14"/>
        <v>0.04</v>
      </c>
      <c r="O63" s="1">
        <f t="shared" si="0"/>
        <v>3.1290369713070327</v>
      </c>
    </row>
    <row r="64" spans="1:15" x14ac:dyDescent="0.25">
      <c r="A64" s="1">
        <f t="shared" si="1"/>
        <v>62</v>
      </c>
      <c r="B64" s="1">
        <f t="shared" si="2"/>
        <v>0.3</v>
      </c>
      <c r="C64" s="1">
        <f t="shared" si="3"/>
        <v>0.2</v>
      </c>
      <c r="D64" s="1">
        <f t="shared" si="4"/>
        <v>0.05</v>
      </c>
      <c r="E64" s="1">
        <f t="shared" si="5"/>
        <v>0.03</v>
      </c>
      <c r="F64" s="1">
        <f t="shared" si="6"/>
        <v>0.01</v>
      </c>
      <c r="G64" s="2">
        <f t="shared" si="7"/>
        <v>36.859961460670256</v>
      </c>
      <c r="H64" s="2">
        <f t="shared" si="8"/>
        <v>6.4237367714291702</v>
      </c>
      <c r="I64" s="2">
        <f t="shared" si="9"/>
        <v>1.8589280418463296</v>
      </c>
      <c r="J64" s="2">
        <f t="shared" si="10"/>
        <v>16.745637423254102</v>
      </c>
      <c r="K64" s="2">
        <f t="shared" si="11"/>
        <v>9.008222505816823</v>
      </c>
      <c r="L64" s="2">
        <f t="shared" si="12"/>
        <v>3.0867720679205615</v>
      </c>
      <c r="M64" s="2">
        <f t="shared" si="13"/>
        <v>4.0860851502092718E-2</v>
      </c>
      <c r="N64" s="1">
        <f t="shared" si="14"/>
        <v>0.04</v>
      </c>
      <c r="O64" s="1">
        <f t="shared" si="0"/>
        <v>3.1290369713070327</v>
      </c>
    </row>
    <row r="65" spans="1:15" x14ac:dyDescent="0.25">
      <c r="A65" s="1">
        <f t="shared" si="1"/>
        <v>63</v>
      </c>
      <c r="B65" s="1">
        <f t="shared" si="2"/>
        <v>0.3</v>
      </c>
      <c r="C65" s="1">
        <f t="shared" si="3"/>
        <v>0.2</v>
      </c>
      <c r="D65" s="1">
        <f t="shared" si="4"/>
        <v>0.05</v>
      </c>
      <c r="E65" s="1">
        <f t="shared" si="5"/>
        <v>0.03</v>
      </c>
      <c r="F65" s="1">
        <f t="shared" si="6"/>
        <v>0.01</v>
      </c>
      <c r="G65" s="2">
        <f t="shared" si="7"/>
        <v>38.397285161823341</v>
      </c>
      <c r="H65" s="2">
        <f t="shared" si="8"/>
        <v>6.6193686810431149</v>
      </c>
      <c r="I65" s="2">
        <f t="shared" si="9"/>
        <v>1.8776105792643305</v>
      </c>
      <c r="J65" s="2">
        <f t="shared" si="10"/>
        <v>17.433541576655411</v>
      </c>
      <c r="K65" s="2">
        <f t="shared" si="11"/>
        <v>9.2849613062395893</v>
      </c>
      <c r="L65" s="2">
        <f t="shared" si="12"/>
        <v>3.0894304643699662</v>
      </c>
      <c r="M65" s="2">
        <f t="shared" si="13"/>
        <v>4.080611560521881E-2</v>
      </c>
      <c r="N65" s="1">
        <f t="shared" si="14"/>
        <v>0.04</v>
      </c>
      <c r="O65" s="1">
        <f t="shared" si="0"/>
        <v>3.1290369713070327</v>
      </c>
    </row>
    <row r="66" spans="1:15" x14ac:dyDescent="0.25">
      <c r="A66" s="1">
        <f t="shared" si="1"/>
        <v>64</v>
      </c>
      <c r="B66" s="1">
        <f t="shared" si="2"/>
        <v>0.3</v>
      </c>
      <c r="C66" s="1">
        <f t="shared" si="3"/>
        <v>0.2</v>
      </c>
      <c r="D66" s="1">
        <f t="shared" si="4"/>
        <v>0.05</v>
      </c>
      <c r="E66" s="1">
        <f t="shared" si="5"/>
        <v>0.03</v>
      </c>
      <c r="F66" s="1">
        <f t="shared" si="6"/>
        <v>0.01</v>
      </c>
      <c r="G66" s="2">
        <f t="shared" si="7"/>
        <v>39.996536936911824</v>
      </c>
      <c r="H66" s="2">
        <f t="shared" si="8"/>
        <v>6.8209584692907894</v>
      </c>
      <c r="I66" s="2">
        <f t="shared" si="9"/>
        <v>1.8964808793049384</v>
      </c>
      <c r="J66" s="2">
        <f t="shared" si="10"/>
        <v>18.149406530580546</v>
      </c>
      <c r="K66" s="2">
        <f t="shared" si="11"/>
        <v>9.5700445644526173</v>
      </c>
      <c r="L66" s="2">
        <f t="shared" si="12"/>
        <v>3.0919219065388228</v>
      </c>
      <c r="M66" s="2">
        <f t="shared" si="13"/>
        <v>4.075488990063493E-2</v>
      </c>
      <c r="N66" s="1">
        <f t="shared" si="14"/>
        <v>0.04</v>
      </c>
      <c r="O66" s="1">
        <f t="shared" si="0"/>
        <v>3.1290369713070327</v>
      </c>
    </row>
    <row r="67" spans="1:15" x14ac:dyDescent="0.25">
      <c r="A67" s="1">
        <f t="shared" si="1"/>
        <v>65</v>
      </c>
      <c r="B67" s="1">
        <f t="shared" si="2"/>
        <v>0.3</v>
      </c>
      <c r="C67" s="1">
        <f t="shared" si="3"/>
        <v>0.2</v>
      </c>
      <c r="D67" s="1">
        <f t="shared" si="4"/>
        <v>0.05</v>
      </c>
      <c r="E67" s="1">
        <f t="shared" si="5"/>
        <v>0.03</v>
      </c>
      <c r="F67" s="1">
        <f t="shared" si="6"/>
        <v>0.01</v>
      </c>
      <c r="G67" s="2">
        <f t="shared" si="7"/>
        <v>41.660263619338892</v>
      </c>
      <c r="H67" s="2">
        <f t="shared" si="8"/>
        <v>7.0286875805893345</v>
      </c>
      <c r="I67" s="2">
        <f t="shared" si="9"/>
        <v>1.9155408290138827</v>
      </c>
      <c r="J67" s="2">
        <f t="shared" si="10"/>
        <v>18.894376329902904</v>
      </c>
      <c r="K67" s="2">
        <f t="shared" si="11"/>
        <v>9.8637293675591859</v>
      </c>
      <c r="L67" s="2">
        <f t="shared" si="12"/>
        <v>3.0942568483607387</v>
      </c>
      <c r="M67" s="2">
        <f t="shared" si="13"/>
        <v>4.0706945604309902E-2</v>
      </c>
      <c r="N67" s="1">
        <f t="shared" si="14"/>
        <v>0.04</v>
      </c>
      <c r="O67" s="1">
        <f t="shared" ref="O67:O100" si="15">(C67/(E67+F67+D67))^(1/(1-B67))</f>
        <v>3.1290369713070327</v>
      </c>
    </row>
    <row r="68" spans="1:15" x14ac:dyDescent="0.25">
      <c r="A68" s="1">
        <f t="shared" ref="A68:A100" si="16">A67+1</f>
        <v>66</v>
      </c>
      <c r="B68" s="1">
        <f t="shared" ref="B68:B100" si="17">B67</f>
        <v>0.3</v>
      </c>
      <c r="C68" s="1">
        <f t="shared" ref="C68:C100" si="18">C67</f>
        <v>0.2</v>
      </c>
      <c r="D68" s="1">
        <f t="shared" ref="D68:D100" si="19">D67</f>
        <v>0.05</v>
      </c>
      <c r="E68" s="1">
        <f t="shared" ref="E68:E100" si="20">E67</f>
        <v>0.03</v>
      </c>
      <c r="F68" s="1">
        <f t="shared" ref="F68:F100" si="21">F67</f>
        <v>0.01</v>
      </c>
      <c r="G68" s="2">
        <f t="shared" ref="G68:G100" si="22">G67*EXP(M67)</f>
        <v>43.391115548826889</v>
      </c>
      <c r="H68" s="2">
        <f t="shared" ref="H68:H100" si="23">H67*EXP(E67)</f>
        <v>7.2427429851610556</v>
      </c>
      <c r="I68" s="2">
        <f t="shared" ref="I68:I100" si="24">I67*EXP(F67)</f>
        <v>1.9347923344020177</v>
      </c>
      <c r="J68" s="2">
        <f t="shared" ref="J68:J100" si="25">G68^B68*(H68*I68)^(1-B68)</f>
        <v>19.669641623479869</v>
      </c>
      <c r="K68" s="2">
        <f t="shared" ref="K68:K100" si="26">J68/I68</f>
        <v>10.166280522069117</v>
      </c>
      <c r="L68" s="2">
        <f t="shared" ref="L68:L100" si="27">G68/(H68*I68)</f>
        <v>3.0964450930321337</v>
      </c>
      <c r="M68" s="2">
        <f t="shared" ref="M68:M100" si="28">C68*(1/L68)^(1-B68)-D68</f>
        <v>4.0662069295481204E-2</v>
      </c>
      <c r="N68" s="1">
        <f t="shared" ref="N68:N100" si="29">E68+F68</f>
        <v>0.04</v>
      </c>
      <c r="O68" s="1">
        <f t="shared" si="15"/>
        <v>3.1290369713070327</v>
      </c>
    </row>
    <row r="69" spans="1:15" x14ac:dyDescent="0.25">
      <c r="A69" s="1">
        <f t="shared" si="16"/>
        <v>67</v>
      </c>
      <c r="B69" s="1">
        <f t="shared" si="17"/>
        <v>0.3</v>
      </c>
      <c r="C69" s="1">
        <f t="shared" si="18"/>
        <v>0.2</v>
      </c>
      <c r="D69" s="1">
        <f t="shared" si="19"/>
        <v>0.05</v>
      </c>
      <c r="E69" s="1">
        <f t="shared" si="20"/>
        <v>0.03</v>
      </c>
      <c r="F69" s="1">
        <f t="shared" si="21"/>
        <v>0.01</v>
      </c>
      <c r="G69" s="2">
        <f t="shared" si="22"/>
        <v>45.191850801851295</v>
      </c>
      <c r="H69" s="2">
        <f t="shared" si="23"/>
        <v>7.46331734731924</v>
      </c>
      <c r="I69" s="2">
        <f t="shared" si="24"/>
        <v>1.9542373206359254</v>
      </c>
      <c r="J69" s="2">
        <f t="shared" si="25"/>
        <v>20.476441569320738</v>
      </c>
      <c r="K69" s="2">
        <f t="shared" si="26"/>
        <v>10.477970793566428</v>
      </c>
      <c r="L69" s="2">
        <f t="shared" si="27"/>
        <v>3.0984958330444621</v>
      </c>
      <c r="M69" s="2">
        <f t="shared" si="28"/>
        <v>4.0620061829739984E-2</v>
      </c>
      <c r="N69" s="1">
        <f t="shared" si="29"/>
        <v>0.04</v>
      </c>
      <c r="O69" s="1">
        <f t="shared" si="15"/>
        <v>3.1290369713070327</v>
      </c>
    </row>
    <row r="70" spans="1:15" x14ac:dyDescent="0.25">
      <c r="A70" s="1">
        <f t="shared" si="16"/>
        <v>68</v>
      </c>
      <c r="B70" s="1">
        <f t="shared" si="17"/>
        <v>0.3</v>
      </c>
      <c r="C70" s="1">
        <f t="shared" si="18"/>
        <v>0.2</v>
      </c>
      <c r="D70" s="1">
        <f t="shared" si="19"/>
        <v>0.05</v>
      </c>
      <c r="E70" s="1">
        <f t="shared" si="20"/>
        <v>0.03</v>
      </c>
      <c r="F70" s="1">
        <f t="shared" si="21"/>
        <v>0.01</v>
      </c>
      <c r="G70" s="2">
        <f t="shared" si="22"/>
        <v>47.065339594955518</v>
      </c>
      <c r="H70" s="2">
        <f t="shared" si="23"/>
        <v>7.6906091988790459</v>
      </c>
      <c r="I70" s="2">
        <f t="shared" si="24"/>
        <v>1.9738777322304331</v>
      </c>
      <c r="J70" s="2">
        <f t="shared" si="25"/>
        <v>21.316065817325999</v>
      </c>
      <c r="K70" s="2">
        <f t="shared" si="26"/>
        <v>10.799081153440731</v>
      </c>
      <c r="L70" s="2">
        <f t="shared" si="27"/>
        <v>3.1004176878129583</v>
      </c>
      <c r="M70" s="2">
        <f t="shared" si="28"/>
        <v>4.0580737335679032E-2</v>
      </c>
      <c r="N70" s="1">
        <f t="shared" si="29"/>
        <v>0.04</v>
      </c>
      <c r="O70" s="1">
        <f t="shared" si="15"/>
        <v>3.1290369713070327</v>
      </c>
    </row>
    <row r="71" spans="1:15" x14ac:dyDescent="0.25">
      <c r="A71" s="1">
        <f t="shared" si="16"/>
        <v>69</v>
      </c>
      <c r="B71" s="1">
        <f t="shared" si="17"/>
        <v>0.3</v>
      </c>
      <c r="C71" s="1">
        <f t="shared" si="18"/>
        <v>0.2</v>
      </c>
      <c r="D71" s="1">
        <f t="shared" si="19"/>
        <v>0.05</v>
      </c>
      <c r="E71" s="1">
        <f t="shared" si="20"/>
        <v>0.03</v>
      </c>
      <c r="F71" s="1">
        <f t="shared" si="21"/>
        <v>0.01</v>
      </c>
      <c r="G71" s="2">
        <f t="shared" si="22"/>
        <v>49.014568867961778</v>
      </c>
      <c r="H71" s="2">
        <f t="shared" si="23"/>
        <v>7.9248231178495372</v>
      </c>
      <c r="I71" s="2">
        <f t="shared" si="24"/>
        <v>1.9937155332430674</v>
      </c>
      <c r="J71" s="2">
        <f t="shared" si="25"/>
        <v>22.189856572777426</v>
      </c>
      <c r="K71" s="2">
        <f t="shared" si="26"/>
        <v>11.129901032913359</v>
      </c>
      <c r="L71" s="2">
        <f t="shared" si="27"/>
        <v>3.1022187390386979</v>
      </c>
      <c r="M71" s="2">
        <f t="shared" si="28"/>
        <v>4.0543922287896592E-2</v>
      </c>
      <c r="N71" s="1">
        <f t="shared" si="29"/>
        <v>0.04</v>
      </c>
      <c r="O71" s="1">
        <f t="shared" si="15"/>
        <v>3.1290369713070327</v>
      </c>
    </row>
    <row r="72" spans="1:15" x14ac:dyDescent="0.25">
      <c r="A72" s="1">
        <f t="shared" si="16"/>
        <v>70</v>
      </c>
      <c r="B72" s="1">
        <f t="shared" si="17"/>
        <v>0.3</v>
      </c>
      <c r="C72" s="1">
        <f t="shared" si="18"/>
        <v>0.2</v>
      </c>
      <c r="D72" s="1">
        <f t="shared" si="19"/>
        <v>0.05</v>
      </c>
      <c r="E72" s="1">
        <f t="shared" si="20"/>
        <v>0.03</v>
      </c>
      <c r="F72" s="1">
        <f t="shared" si="21"/>
        <v>0.01</v>
      </c>
      <c r="G72" s="2">
        <f t="shared" si="22"/>
        <v>51.042647054383615</v>
      </c>
      <c r="H72" s="2">
        <f t="shared" si="23"/>
        <v>8.1661699125677014</v>
      </c>
      <c r="I72" s="2">
        <f t="shared" si="24"/>
        <v>2.0137527074704611</v>
      </c>
      <c r="J72" s="2">
        <f t="shared" si="25"/>
        <v>23.099210743887099</v>
      </c>
      <c r="K72" s="2">
        <f t="shared" si="26"/>
        <v>11.470728584595053</v>
      </c>
      <c r="L72" s="2">
        <f t="shared" si="27"/>
        <v>3.1039065639339691</v>
      </c>
      <c r="M72" s="2">
        <f t="shared" si="28"/>
        <v>4.0509454649857585E-2</v>
      </c>
      <c r="N72" s="1">
        <f t="shared" si="29"/>
        <v>0.04</v>
      </c>
      <c r="O72" s="1">
        <f t="shared" si="15"/>
        <v>3.1290369713070327</v>
      </c>
    </row>
    <row r="73" spans="1:15" x14ac:dyDescent="0.25">
      <c r="A73" s="1">
        <f t="shared" si="16"/>
        <v>71</v>
      </c>
      <c r="B73" s="1">
        <f t="shared" si="17"/>
        <v>0.3</v>
      </c>
      <c r="C73" s="1">
        <f t="shared" si="18"/>
        <v>0.2</v>
      </c>
      <c r="D73" s="1">
        <f t="shared" si="19"/>
        <v>0.05</v>
      </c>
      <c r="E73" s="1">
        <f t="shared" si="20"/>
        <v>0.03</v>
      </c>
      <c r="F73" s="1">
        <f t="shared" si="21"/>
        <v>0.01</v>
      </c>
      <c r="G73" s="2">
        <f t="shared" si="22"/>
        <v>53.152809046647448</v>
      </c>
      <c r="H73" s="2">
        <f t="shared" si="23"/>
        <v>8.4148668114401826</v>
      </c>
      <c r="I73" s="2">
        <f t="shared" si="24"/>
        <v>2.033991258646735</v>
      </c>
      <c r="J73" s="2">
        <f t="shared" si="25"/>
        <v>24.045582176847187</v>
      </c>
      <c r="K73" s="2">
        <f t="shared" si="26"/>
        <v>11.821870951817813</v>
      </c>
      <c r="L73" s="2">
        <f t="shared" si="27"/>
        <v>3.1054882664343251</v>
      </c>
      <c r="M73" s="2">
        <f t="shared" si="28"/>
        <v>4.0477183080745716E-2</v>
      </c>
      <c r="N73" s="1">
        <f t="shared" si="29"/>
        <v>0.04</v>
      </c>
      <c r="O73" s="1">
        <f t="shared" si="15"/>
        <v>3.1290369713070327</v>
      </c>
    </row>
    <row r="74" spans="1:15" x14ac:dyDescent="0.25">
      <c r="A74" s="1">
        <f t="shared" si="16"/>
        <v>72</v>
      </c>
      <c r="B74" s="1">
        <f t="shared" si="17"/>
        <v>0.3</v>
      </c>
      <c r="C74" s="1">
        <f t="shared" si="18"/>
        <v>0.2</v>
      </c>
      <c r="D74" s="1">
        <f t="shared" si="19"/>
        <v>0.05</v>
      </c>
      <c r="E74" s="1">
        <f t="shared" si="20"/>
        <v>0.03</v>
      </c>
      <c r="F74" s="1">
        <f t="shared" si="21"/>
        <v>0.01</v>
      </c>
      <c r="G74" s="2">
        <f t="shared" si="22"/>
        <v>55.348421364044462</v>
      </c>
      <c r="H74" s="2">
        <f t="shared" si="23"/>
        <v>8.6711376584635111</v>
      </c>
      <c r="I74" s="2">
        <f t="shared" si="24"/>
        <v>2.0544332106438716</v>
      </c>
      <c r="J74" s="2">
        <f t="shared" si="25"/>
        <v>25.03048398196195</v>
      </c>
      <c r="K74" s="2">
        <f t="shared" si="26"/>
        <v>12.18364454599001</v>
      </c>
      <c r="L74" s="2">
        <f t="shared" si="27"/>
        <v>3.1069705065143398</v>
      </c>
      <c r="M74" s="2">
        <f t="shared" si="28"/>
        <v>4.0446966200999232E-2</v>
      </c>
      <c r="N74" s="1">
        <f t="shared" si="29"/>
        <v>0.04</v>
      </c>
      <c r="O74" s="1">
        <f t="shared" si="15"/>
        <v>3.1290369713070327</v>
      </c>
    </row>
    <row r="75" spans="1:15" x14ac:dyDescent="0.25">
      <c r="A75" s="1">
        <f t="shared" si="16"/>
        <v>73</v>
      </c>
      <c r="B75" s="1">
        <f t="shared" si="17"/>
        <v>0.3</v>
      </c>
      <c r="C75" s="1">
        <f t="shared" si="18"/>
        <v>0.2</v>
      </c>
      <c r="D75" s="1">
        <f t="shared" si="19"/>
        <v>0.05</v>
      </c>
      <c r="E75" s="1">
        <f t="shared" si="20"/>
        <v>0.03</v>
      </c>
      <c r="F75" s="1">
        <f t="shared" si="21"/>
        <v>0.01</v>
      </c>
      <c r="G75" s="2">
        <f t="shared" si="22"/>
        <v>57.632987531660419</v>
      </c>
      <c r="H75" s="2">
        <f t="shared" si="23"/>
        <v>8.9352131146988079</v>
      </c>
      <c r="I75" s="2">
        <f t="shared" si="24"/>
        <v>2.075080607674106</v>
      </c>
      <c r="J75" s="2">
        <f t="shared" si="25"/>
        <v>26.05549095458856</v>
      </c>
      <c r="K75" s="2">
        <f t="shared" si="26"/>
        <v>12.556375332230278</v>
      </c>
      <c r="L75" s="2">
        <f t="shared" si="27"/>
        <v>3.1083595277178944</v>
      </c>
      <c r="M75" s="2">
        <f t="shared" si="28"/>
        <v>4.0418671911724532E-2</v>
      </c>
      <c r="N75" s="1">
        <f t="shared" si="29"/>
        <v>0.04</v>
      </c>
      <c r="O75" s="1">
        <f t="shared" si="15"/>
        <v>3.1290369713070327</v>
      </c>
    </row>
    <row r="76" spans="1:15" x14ac:dyDescent="0.25">
      <c r="A76" s="1">
        <f t="shared" si="16"/>
        <v>74</v>
      </c>
      <c r="B76" s="1">
        <f t="shared" si="17"/>
        <v>0.3</v>
      </c>
      <c r="C76" s="1">
        <f t="shared" si="18"/>
        <v>0.2</v>
      </c>
      <c r="D76" s="1">
        <f t="shared" si="19"/>
        <v>0.05</v>
      </c>
      <c r="E76" s="1">
        <f t="shared" si="20"/>
        <v>0.03</v>
      </c>
      <c r="F76" s="1">
        <f t="shared" si="21"/>
        <v>0.01</v>
      </c>
      <c r="G76" s="2">
        <f t="shared" si="22"/>
        <v>60.010153678870289</v>
      </c>
      <c r="H76" s="2">
        <f t="shared" si="23"/>
        <v>9.2073308658823123</v>
      </c>
      <c r="I76" s="2">
        <f t="shared" si="24"/>
        <v>2.0959355144943475</v>
      </c>
      <c r="J76" s="2">
        <f t="shared" si="25"/>
        <v>27.122242094764548</v>
      </c>
      <c r="K76" s="2">
        <f t="shared" si="26"/>
        <v>12.94039912354264</v>
      </c>
      <c r="L76" s="2">
        <f t="shared" si="27"/>
        <v>3.1096611830079328</v>
      </c>
      <c r="M76" s="2">
        <f t="shared" si="28"/>
        <v>4.039217676362776E-2</v>
      </c>
      <c r="N76" s="1">
        <f t="shared" si="29"/>
        <v>0.04</v>
      </c>
      <c r="O76" s="1">
        <f t="shared" si="15"/>
        <v>3.1290369713070327</v>
      </c>
    </row>
    <row r="77" spans="1:15" x14ac:dyDescent="0.25">
      <c r="A77" s="1">
        <f t="shared" si="16"/>
        <v>75</v>
      </c>
      <c r="B77" s="1">
        <f t="shared" si="17"/>
        <v>0.3</v>
      </c>
      <c r="C77" s="1">
        <f t="shared" si="18"/>
        <v>0.2</v>
      </c>
      <c r="D77" s="1">
        <f t="shared" si="19"/>
        <v>0.05</v>
      </c>
      <c r="E77" s="1">
        <f t="shared" si="20"/>
        <v>0.03</v>
      </c>
      <c r="F77" s="1">
        <f t="shared" si="21"/>
        <v>0.01</v>
      </c>
      <c r="G77" s="2">
        <f t="shared" si="22"/>
        <v>62.483714366337594</v>
      </c>
      <c r="H77" s="2">
        <f t="shared" si="23"/>
        <v>9.4877358363585902</v>
      </c>
      <c r="I77" s="2">
        <f t="shared" si="24"/>
        <v>2.117000016612657</v>
      </c>
      <c r="J77" s="2">
        <f t="shared" si="25"/>
        <v>28.23244322955739</v>
      </c>
      <c r="K77" s="2">
        <f t="shared" si="26"/>
        <v>13.336061883802536</v>
      </c>
      <c r="L77" s="2">
        <f t="shared" si="27"/>
        <v>3.1108809590349371</v>
      </c>
      <c r="M77" s="2">
        <f t="shared" si="28"/>
        <v>4.0367365371503303E-2</v>
      </c>
      <c r="N77" s="1">
        <f t="shared" si="29"/>
        <v>0.04</v>
      </c>
      <c r="O77" s="1">
        <f t="shared" si="15"/>
        <v>3.1290369713070327</v>
      </c>
    </row>
    <row r="78" spans="1:15" x14ac:dyDescent="0.25">
      <c r="A78" s="1">
        <f t="shared" si="16"/>
        <v>76</v>
      </c>
      <c r="B78" s="1">
        <f t="shared" si="17"/>
        <v>0.3</v>
      </c>
      <c r="C78" s="1">
        <f t="shared" si="18"/>
        <v>0.2</v>
      </c>
      <c r="D78" s="1">
        <f t="shared" si="19"/>
        <v>0.05</v>
      </c>
      <c r="E78" s="1">
        <f t="shared" si="20"/>
        <v>0.03</v>
      </c>
      <c r="F78" s="1">
        <f t="shared" si="21"/>
        <v>0.01</v>
      </c>
      <c r="G78" s="2">
        <f t="shared" si="22"/>
        <v>65.05761865082539</v>
      </c>
      <c r="H78" s="2">
        <f t="shared" si="23"/>
        <v>9.7766804095289714</v>
      </c>
      <c r="I78" s="2">
        <f t="shared" si="24"/>
        <v>2.1382762204968007</v>
      </c>
      <c r="J78" s="2">
        <f t="shared" si="25"/>
        <v>29.387869742335646</v>
      </c>
      <c r="K78" s="2">
        <f t="shared" si="26"/>
        <v>13.743720039830849</v>
      </c>
      <c r="L78" s="2">
        <f t="shared" si="27"/>
        <v>3.1120239989179361</v>
      </c>
      <c r="M78" s="2">
        <f t="shared" si="28"/>
        <v>4.0344129870676745E-2</v>
      </c>
      <c r="N78" s="1">
        <f t="shared" si="29"/>
        <v>0.04</v>
      </c>
      <c r="O78" s="1">
        <f t="shared" si="15"/>
        <v>3.1290369713070327</v>
      </c>
    </row>
    <row r="79" spans="1:15" x14ac:dyDescent="0.25">
      <c r="A79" s="1">
        <f t="shared" si="16"/>
        <v>77</v>
      </c>
      <c r="B79" s="1">
        <f t="shared" si="17"/>
        <v>0.3</v>
      </c>
      <c r="C79" s="1">
        <f t="shared" si="18"/>
        <v>0.2</v>
      </c>
      <c r="D79" s="1">
        <f t="shared" si="19"/>
        <v>0.05</v>
      </c>
      <c r="E79" s="1">
        <f t="shared" si="20"/>
        <v>0.03</v>
      </c>
      <c r="F79" s="1">
        <f t="shared" si="21"/>
        <v>0.01</v>
      </c>
      <c r="G79" s="2">
        <f t="shared" si="22"/>
        <v>67.735976397507642</v>
      </c>
      <c r="H79" s="2">
        <f t="shared" si="23"/>
        <v>10.074424655013656</v>
      </c>
      <c r="I79" s="2">
        <f t="shared" si="24"/>
        <v>2.1597662537848965</v>
      </c>
      <c r="J79" s="2">
        <f t="shared" si="25"/>
        <v>30.590369413331672</v>
      </c>
      <c r="K79" s="2">
        <f t="shared" si="26"/>
        <v>14.16374080284076</v>
      </c>
      <c r="L79" s="2">
        <f t="shared" si="27"/>
        <v>3.11309512362666</v>
      </c>
      <c r="M79" s="2">
        <f t="shared" si="28"/>
        <v>4.0322369412120126E-2</v>
      </c>
      <c r="N79" s="1">
        <f t="shared" si="29"/>
        <v>0.04</v>
      </c>
      <c r="O79" s="1">
        <f t="shared" si="15"/>
        <v>3.1290369713070327</v>
      </c>
    </row>
    <row r="80" spans="1:15" x14ac:dyDescent="0.25">
      <c r="A80" s="1">
        <f t="shared" si="16"/>
        <v>78</v>
      </c>
      <c r="B80" s="1">
        <f t="shared" si="17"/>
        <v>0.3</v>
      </c>
      <c r="C80" s="1">
        <f t="shared" si="18"/>
        <v>0.2</v>
      </c>
      <c r="D80" s="1">
        <f t="shared" si="19"/>
        <v>0.05</v>
      </c>
      <c r="E80" s="1">
        <f t="shared" si="20"/>
        <v>0.03</v>
      </c>
      <c r="F80" s="1">
        <f t="shared" si="21"/>
        <v>0.01</v>
      </c>
      <c r="G80" s="2">
        <f t="shared" si="22"/>
        <v>70.523064849867254</v>
      </c>
      <c r="H80" s="2">
        <f t="shared" si="23"/>
        <v>10.381236562731917</v>
      </c>
      <c r="I80" s="2">
        <f t="shared" si="24"/>
        <v>2.1814722654981824</v>
      </c>
      <c r="J80" s="2">
        <f t="shared" si="25"/>
        <v>31.841865376044098</v>
      </c>
      <c r="K80" s="2">
        <f t="shared" si="26"/>
        <v>14.596502499550402</v>
      </c>
      <c r="L80" s="2">
        <f t="shared" si="27"/>
        <v>3.1140988520485151</v>
      </c>
      <c r="M80" s="2">
        <f t="shared" si="28"/>
        <v>4.0301989693245846E-2</v>
      </c>
      <c r="N80" s="1">
        <f t="shared" si="29"/>
        <v>0.04</v>
      </c>
      <c r="O80" s="1">
        <f t="shared" si="15"/>
        <v>3.1290369713070327</v>
      </c>
    </row>
    <row r="81" spans="1:15" x14ac:dyDescent="0.25">
      <c r="A81" s="1">
        <f t="shared" si="16"/>
        <v>79</v>
      </c>
      <c r="B81" s="1">
        <f t="shared" si="17"/>
        <v>0.3</v>
      </c>
      <c r="C81" s="1">
        <f t="shared" si="18"/>
        <v>0.2</v>
      </c>
      <c r="D81" s="1">
        <f t="shared" si="19"/>
        <v>0.05</v>
      </c>
      <c r="E81" s="1">
        <f t="shared" si="20"/>
        <v>0.03</v>
      </c>
      <c r="F81" s="1">
        <f t="shared" si="21"/>
        <v>0.01</v>
      </c>
      <c r="G81" s="2">
        <f t="shared" si="22"/>
        <v>73.423335467679891</v>
      </c>
      <c r="H81" s="2">
        <f t="shared" si="23"/>
        <v>10.697392284111128</v>
      </c>
      <c r="I81" s="2">
        <f t="shared" si="24"/>
        <v>2.2033964262559174</v>
      </c>
      <c r="J81" s="2">
        <f t="shared" si="25"/>
        <v>33.14435919421301</v>
      </c>
      <c r="K81" s="2">
        <f t="shared" si="26"/>
        <v>15.042394913262603</v>
      </c>
      <c r="L81" s="2">
        <f t="shared" si="27"/>
        <v>3.115039419819321</v>
      </c>
      <c r="M81" s="2">
        <f t="shared" si="28"/>
        <v>4.0282902521645236E-2</v>
      </c>
      <c r="N81" s="1">
        <f t="shared" si="29"/>
        <v>0.04</v>
      </c>
      <c r="O81" s="1">
        <f t="shared" si="15"/>
        <v>3.1290369713070327</v>
      </c>
    </row>
    <row r="82" spans="1:15" x14ac:dyDescent="0.25">
      <c r="A82" s="1">
        <f t="shared" si="16"/>
        <v>80</v>
      </c>
      <c r="B82" s="1">
        <f t="shared" si="17"/>
        <v>0.3</v>
      </c>
      <c r="C82" s="1">
        <f t="shared" si="18"/>
        <v>0.2</v>
      </c>
      <c r="D82" s="1">
        <f t="shared" si="19"/>
        <v>0.05</v>
      </c>
      <c r="E82" s="1">
        <f t="shared" si="20"/>
        <v>0.03</v>
      </c>
      <c r="F82" s="1">
        <f t="shared" si="21"/>
        <v>0.01</v>
      </c>
      <c r="G82" s="2">
        <f t="shared" si="22"/>
        <v>76.441421044013168</v>
      </c>
      <c r="H82" s="2">
        <f t="shared" si="23"/>
        <v>11.023176380641681</v>
      </c>
      <c r="I82" s="2">
        <f t="shared" si="24"/>
        <v>2.2255409284924479</v>
      </c>
      <c r="J82" s="2">
        <f t="shared" si="25"/>
        <v>34.499934064293676</v>
      </c>
      <c r="K82" s="2">
        <f t="shared" si="26"/>
        <v>15.501819635221661</v>
      </c>
      <c r="L82" s="2">
        <f t="shared" si="27"/>
        <v>3.1159207969922456</v>
      </c>
      <c r="M82" s="2">
        <f t="shared" si="28"/>
        <v>4.0265025409272348E-2</v>
      </c>
      <c r="N82" s="1">
        <f t="shared" si="29"/>
        <v>0.04</v>
      </c>
      <c r="O82" s="1">
        <f t="shared" si="15"/>
        <v>3.1290369713070327</v>
      </c>
    </row>
    <row r="83" spans="1:15" x14ac:dyDescent="0.25">
      <c r="A83" s="1">
        <f t="shared" si="16"/>
        <v>81</v>
      </c>
      <c r="B83" s="1">
        <f t="shared" si="17"/>
        <v>0.3</v>
      </c>
      <c r="C83" s="1">
        <f t="shared" si="18"/>
        <v>0.2</v>
      </c>
      <c r="D83" s="1">
        <f t="shared" si="19"/>
        <v>0.05</v>
      </c>
      <c r="E83" s="1">
        <f t="shared" si="20"/>
        <v>0.03</v>
      </c>
      <c r="F83" s="1">
        <f t="shared" si="21"/>
        <v>0.01</v>
      </c>
      <c r="G83" s="2">
        <f t="shared" si="22"/>
        <v>79.582143112617857</v>
      </c>
      <c r="H83" s="2">
        <f t="shared" si="23"/>
        <v>11.358882080001539</v>
      </c>
      <c r="I83" s="2">
        <f t="shared" si="24"/>
        <v>2.2479079866764513</v>
      </c>
      <c r="J83" s="2">
        <f t="shared" si="25"/>
        <v>35.910758148555288</v>
      </c>
      <c r="K83" s="2">
        <f t="shared" si="26"/>
        <v>15.975190426566174</v>
      </c>
      <c r="L83" s="2">
        <f t="shared" si="27"/>
        <v>3.1167467046151476</v>
      </c>
      <c r="M83" s="2">
        <f t="shared" si="28"/>
        <v>4.0248281194783728E-2</v>
      </c>
      <c r="N83" s="1">
        <f t="shared" si="29"/>
        <v>0.04</v>
      </c>
      <c r="O83" s="1">
        <f t="shared" si="15"/>
        <v>3.1290369713070327</v>
      </c>
    </row>
    <row r="84" spans="1:15" x14ac:dyDescent="0.25">
      <c r="A84" s="1">
        <f t="shared" si="16"/>
        <v>82</v>
      </c>
      <c r="B84" s="1">
        <f t="shared" si="17"/>
        <v>0.3</v>
      </c>
      <c r="C84" s="1">
        <f t="shared" si="18"/>
        <v>0.2</v>
      </c>
      <c r="D84" s="1">
        <f t="shared" si="19"/>
        <v>0.05</v>
      </c>
      <c r="E84" s="1">
        <f t="shared" si="20"/>
        <v>0.03</v>
      </c>
      <c r="F84" s="1">
        <f t="shared" si="21"/>
        <v>0.01</v>
      </c>
      <c r="G84" s="2">
        <f t="shared" si="22"/>
        <v>82.850519657553434</v>
      </c>
      <c r="H84" s="2">
        <f t="shared" si="23"/>
        <v>11.704811539980941</v>
      </c>
      <c r="I84" s="2">
        <f t="shared" si="24"/>
        <v>2.2704998375323853</v>
      </c>
      <c r="J84" s="2">
        <f t="shared" si="25"/>
        <v>37.379088044139785</v>
      </c>
      <c r="K84" s="2">
        <f t="shared" si="26"/>
        <v>16.462933591206049</v>
      </c>
      <c r="L84" s="2">
        <f t="shared" si="27"/>
        <v>3.1175206302824265</v>
      </c>
      <c r="M84" s="2">
        <f t="shared" si="28"/>
        <v>4.0232597691937252E-2</v>
      </c>
      <c r="N84" s="1">
        <f t="shared" si="29"/>
        <v>0.04</v>
      </c>
      <c r="O84" s="1">
        <f t="shared" si="15"/>
        <v>3.1290369713070327</v>
      </c>
    </row>
    <row r="85" spans="1:15" x14ac:dyDescent="0.25">
      <c r="A85" s="1">
        <f t="shared" si="16"/>
        <v>83</v>
      </c>
      <c r="B85" s="1">
        <f t="shared" si="17"/>
        <v>0.3</v>
      </c>
      <c r="C85" s="1">
        <f t="shared" si="18"/>
        <v>0.2</v>
      </c>
      <c r="D85" s="1">
        <f t="shared" si="19"/>
        <v>0.05</v>
      </c>
      <c r="E85" s="1">
        <f t="shared" si="20"/>
        <v>0.03</v>
      </c>
      <c r="F85" s="1">
        <f t="shared" si="21"/>
        <v>0.01</v>
      </c>
      <c r="G85" s="2">
        <f t="shared" si="22"/>
        <v>86.251773137374812</v>
      </c>
      <c r="H85" s="2">
        <f t="shared" si="23"/>
        <v>12.061276120444807</v>
      </c>
      <c r="I85" s="2">
        <f t="shared" si="24"/>
        <v>2.2933187402641617</v>
      </c>
      <c r="J85" s="2">
        <f t="shared" si="25"/>
        <v>38.907272393633555</v>
      </c>
      <c r="K85" s="2">
        <f t="shared" si="26"/>
        <v>16.96548835996165</v>
      </c>
      <c r="L85" s="2">
        <f t="shared" si="27"/>
        <v>3.1182458427236979</v>
      </c>
      <c r="M85" s="2">
        <f t="shared" si="28"/>
        <v>4.0217907362125119E-2</v>
      </c>
      <c r="N85" s="1">
        <f t="shared" si="29"/>
        <v>0.04</v>
      </c>
      <c r="O85" s="1">
        <f t="shared" si="15"/>
        <v>3.1290369713070327</v>
      </c>
    </row>
    <row r="86" spans="1:15" x14ac:dyDescent="0.25">
      <c r="A86" s="1">
        <f t="shared" si="16"/>
        <v>84</v>
      </c>
      <c r="B86" s="1">
        <f t="shared" si="17"/>
        <v>0.3</v>
      </c>
      <c r="C86" s="1">
        <f t="shared" si="18"/>
        <v>0.2</v>
      </c>
      <c r="D86" s="1">
        <f t="shared" si="19"/>
        <v>0.05</v>
      </c>
      <c r="E86" s="1">
        <f t="shared" si="20"/>
        <v>0.03</v>
      </c>
      <c r="F86" s="1">
        <f t="shared" si="21"/>
        <v>0.01</v>
      </c>
      <c r="G86" s="2">
        <f t="shared" si="22"/>
        <v>89.791338836710892</v>
      </c>
      <c r="H86" s="2">
        <f t="shared" si="23"/>
        <v>12.428596663577636</v>
      </c>
      <c r="I86" s="2">
        <f t="shared" si="24"/>
        <v>2.3163669767810702</v>
      </c>
      <c r="J86" s="2">
        <f t="shared" si="25"/>
        <v>40.497755642930898</v>
      </c>
      <c r="K86" s="2">
        <f t="shared" si="26"/>
        <v>17.483307286312826</v>
      </c>
      <c r="L86" s="2">
        <f t="shared" si="27"/>
        <v>3.1189254054879187</v>
      </c>
      <c r="M86" s="2">
        <f t="shared" si="28"/>
        <v>4.0204147009273758E-2</v>
      </c>
      <c r="N86" s="1">
        <f t="shared" si="29"/>
        <v>0.04</v>
      </c>
      <c r="O86" s="1">
        <f t="shared" si="15"/>
        <v>3.1290369713070327</v>
      </c>
    </row>
    <row r="87" spans="1:15" x14ac:dyDescent="0.25">
      <c r="A87" s="1">
        <f t="shared" si="16"/>
        <v>85</v>
      </c>
      <c r="B87" s="1">
        <f t="shared" si="17"/>
        <v>0.3</v>
      </c>
      <c r="C87" s="1">
        <f t="shared" si="18"/>
        <v>0.2</v>
      </c>
      <c r="D87" s="1">
        <f t="shared" si="19"/>
        <v>0.05</v>
      </c>
      <c r="E87" s="1">
        <f t="shared" si="20"/>
        <v>0.03</v>
      </c>
      <c r="F87" s="1">
        <f t="shared" si="21"/>
        <v>0.01</v>
      </c>
      <c r="G87" s="2">
        <f t="shared" si="22"/>
        <v>93.474873558590403</v>
      </c>
      <c r="H87" s="2">
        <f t="shared" si="23"/>
        <v>12.807103782663129</v>
      </c>
      <c r="I87" s="2">
        <f t="shared" si="24"/>
        <v>2.339646851925969</v>
      </c>
      <c r="J87" s="2">
        <f t="shared" si="25"/>
        <v>42.153081952403625</v>
      </c>
      <c r="K87" s="2">
        <f t="shared" si="26"/>
        <v>18.016856654115863</v>
      </c>
      <c r="L87" s="2">
        <f t="shared" si="27"/>
        <v>3.1195621897781893</v>
      </c>
      <c r="M87" s="2">
        <f t="shared" si="28"/>
        <v>4.0191257495484967E-2</v>
      </c>
      <c r="N87" s="1">
        <f t="shared" si="29"/>
        <v>0.04</v>
      </c>
      <c r="O87" s="1">
        <f t="shared" si="15"/>
        <v>3.1290369713070327</v>
      </c>
    </row>
    <row r="88" spans="1:15" x14ac:dyDescent="0.25">
      <c r="A88" s="1">
        <f t="shared" si="16"/>
        <v>86</v>
      </c>
      <c r="B88" s="1">
        <f t="shared" si="17"/>
        <v>0.3</v>
      </c>
      <c r="C88" s="1">
        <f t="shared" si="18"/>
        <v>0.2</v>
      </c>
      <c r="D88" s="1">
        <f t="shared" si="19"/>
        <v>0.05</v>
      </c>
      <c r="E88" s="1">
        <f t="shared" si="20"/>
        <v>0.03</v>
      </c>
      <c r="F88" s="1">
        <f t="shared" si="21"/>
        <v>0.01</v>
      </c>
      <c r="G88" s="2">
        <f t="shared" si="22"/>
        <v>97.308264671416168</v>
      </c>
      <c r="H88" s="2">
        <f t="shared" si="23"/>
        <v>13.197138159658458</v>
      </c>
      <c r="I88" s="2">
        <f t="shared" si="24"/>
        <v>2.3631606937057725</v>
      </c>
      <c r="J88" s="2">
        <f t="shared" si="25"/>
        <v>43.875899267636605</v>
      </c>
      <c r="K88" s="2">
        <f t="shared" si="26"/>
        <v>18.566616897657074</v>
      </c>
      <c r="L88" s="2">
        <f t="shared" si="27"/>
        <v>3.1201588864891563</v>
      </c>
      <c r="M88" s="2">
        <f t="shared" si="28"/>
        <v>4.0179183475923114E-2</v>
      </c>
      <c r="N88" s="1">
        <f t="shared" si="29"/>
        <v>0.04</v>
      </c>
      <c r="O88" s="1">
        <f t="shared" si="15"/>
        <v>3.1290369713070327</v>
      </c>
    </row>
    <row r="89" spans="1:15" x14ac:dyDescent="0.25">
      <c r="A89" s="1">
        <f t="shared" si="16"/>
        <v>87</v>
      </c>
      <c r="B89" s="1">
        <f t="shared" si="17"/>
        <v>0.3</v>
      </c>
      <c r="C89" s="1">
        <f t="shared" si="18"/>
        <v>0.2</v>
      </c>
      <c r="D89" s="1">
        <f t="shared" si="19"/>
        <v>0.05</v>
      </c>
      <c r="E89" s="1">
        <f t="shared" si="20"/>
        <v>0.03</v>
      </c>
      <c r="F89" s="1">
        <f t="shared" si="21"/>
        <v>0.01</v>
      </c>
      <c r="G89" s="2">
        <f t="shared" si="22"/>
        <v>101.29763952505714</v>
      </c>
      <c r="H89" s="2">
        <f t="shared" si="23"/>
        <v>13.599050851831031</v>
      </c>
      <c r="I89" s="2">
        <f t="shared" si="24"/>
        <v>2.3869108535242538</v>
      </c>
      <c r="J89" s="2">
        <f t="shared" si="25"/>
        <v>45.668963556244208</v>
      </c>
      <c r="K89" s="2">
        <f t="shared" si="26"/>
        <v>19.133083034422658</v>
      </c>
      <c r="L89" s="2">
        <f t="shared" si="27"/>
        <v>3.1207180174958924</v>
      </c>
      <c r="M89" s="2">
        <f t="shared" si="28"/>
        <v>4.0167873151570291E-2</v>
      </c>
      <c r="N89" s="1">
        <f t="shared" si="29"/>
        <v>0.04</v>
      </c>
      <c r="O89" s="1">
        <f t="shared" si="15"/>
        <v>3.1290369713070327</v>
      </c>
    </row>
    <row r="90" spans="1:15" x14ac:dyDescent="0.25">
      <c r="A90" s="1">
        <f t="shared" si="16"/>
        <v>88</v>
      </c>
      <c r="B90" s="1">
        <f t="shared" si="17"/>
        <v>0.3</v>
      </c>
      <c r="C90" s="1">
        <f t="shared" si="18"/>
        <v>0.2</v>
      </c>
      <c r="D90" s="1">
        <f t="shared" si="19"/>
        <v>0.05</v>
      </c>
      <c r="E90" s="1">
        <f t="shared" si="20"/>
        <v>0.03</v>
      </c>
      <c r="F90" s="1">
        <f t="shared" si="21"/>
        <v>0.01</v>
      </c>
      <c r="G90" s="2">
        <f t="shared" si="22"/>
        <v>105.44937525111858</v>
      </c>
      <c r="H90" s="2">
        <f t="shared" si="23"/>
        <v>14.013203607733722</v>
      </c>
      <c r="I90" s="2">
        <f t="shared" si="24"/>
        <v>2.4108997064171866</v>
      </c>
      <c r="J90" s="2">
        <f t="shared" si="25"/>
        <v>47.535143217547898</v>
      </c>
      <c r="K90" s="2">
        <f t="shared" si="26"/>
        <v>19.716765110975683</v>
      </c>
      <c r="L90" s="2">
        <f t="shared" si="27"/>
        <v>3.1212419462402052</v>
      </c>
      <c r="M90" s="2">
        <f t="shared" si="28"/>
        <v>4.0157278038579297E-2</v>
      </c>
      <c r="N90" s="1">
        <f t="shared" si="29"/>
        <v>0.04</v>
      </c>
      <c r="O90" s="1">
        <f t="shared" si="15"/>
        <v>3.1290369713070327</v>
      </c>
    </row>
    <row r="91" spans="1:15" x14ac:dyDescent="0.25">
      <c r="A91" s="1">
        <f t="shared" si="16"/>
        <v>89</v>
      </c>
      <c r="B91" s="1">
        <f t="shared" si="17"/>
        <v>0.3</v>
      </c>
      <c r="C91" s="1">
        <f t="shared" si="18"/>
        <v>0.2</v>
      </c>
      <c r="D91" s="1">
        <f t="shared" si="19"/>
        <v>0.05</v>
      </c>
      <c r="E91" s="1">
        <f t="shared" si="20"/>
        <v>0.03</v>
      </c>
      <c r="F91" s="1">
        <f t="shared" si="21"/>
        <v>0.01</v>
      </c>
      <c r="G91" s="2">
        <f t="shared" si="22"/>
        <v>109.77010896306628</v>
      </c>
      <c r="H91" s="2">
        <f t="shared" si="23"/>
        <v>14.439969192802995</v>
      </c>
      <c r="I91" s="2">
        <f t="shared" si="24"/>
        <v>2.4351296512898508</v>
      </c>
      <c r="J91" s="2">
        <f t="shared" si="25"/>
        <v>49.477423672172513</v>
      </c>
      <c r="K91" s="2">
        <f t="shared" si="26"/>
        <v>20.318188662342919</v>
      </c>
      <c r="L91" s="2">
        <f t="shared" si="27"/>
        <v>3.1217328876575814</v>
      </c>
      <c r="M91" s="2">
        <f t="shared" si="28"/>
        <v>4.0147352753052132E-2</v>
      </c>
      <c r="N91" s="1">
        <f t="shared" si="29"/>
        <v>0.04</v>
      </c>
      <c r="O91" s="1">
        <f t="shared" si="15"/>
        <v>3.1290369713070327</v>
      </c>
    </row>
    <row r="92" spans="1:15" x14ac:dyDescent="0.25">
      <c r="A92" s="1">
        <f t="shared" si="16"/>
        <v>90</v>
      </c>
      <c r="B92" s="1">
        <f t="shared" si="17"/>
        <v>0.3</v>
      </c>
      <c r="C92" s="1">
        <f t="shared" si="18"/>
        <v>0.2</v>
      </c>
      <c r="D92" s="1">
        <f t="shared" si="19"/>
        <v>0.05</v>
      </c>
      <c r="E92" s="1">
        <f t="shared" si="20"/>
        <v>0.03</v>
      </c>
      <c r="F92" s="1">
        <f t="shared" si="21"/>
        <v>0.01</v>
      </c>
      <c r="G92" s="2">
        <f t="shared" si="22"/>
        <v>114.2667483725203</v>
      </c>
      <c r="H92" s="2">
        <f t="shared" si="23"/>
        <v>14.879731724872952</v>
      </c>
      <c r="I92" s="2">
        <f t="shared" si="24"/>
        <v>2.4596031111569254</v>
      </c>
      <c r="J92" s="2">
        <f t="shared" si="25"/>
        <v>51.498912138905823</v>
      </c>
      <c r="K92" s="2">
        <f t="shared" si="26"/>
        <v>20.937895185326155</v>
      </c>
      <c r="L92" s="2">
        <f t="shared" si="27"/>
        <v>3.1221929174853695</v>
      </c>
      <c r="M92" s="2">
        <f t="shared" si="28"/>
        <v>4.0138054810161528E-2</v>
      </c>
      <c r="N92" s="1">
        <f t="shared" si="29"/>
        <v>0.04</v>
      </c>
      <c r="O92" s="1">
        <f t="shared" si="15"/>
        <v>3.1290369713070327</v>
      </c>
    </row>
    <row r="93" spans="1:15" x14ac:dyDescent="0.25">
      <c r="A93" s="1">
        <f t="shared" si="16"/>
        <v>91</v>
      </c>
      <c r="B93" s="1">
        <f t="shared" si="17"/>
        <v>0.3</v>
      </c>
      <c r="C93" s="1">
        <f t="shared" si="18"/>
        <v>0.2</v>
      </c>
      <c r="D93" s="1">
        <f t="shared" si="19"/>
        <v>0.05</v>
      </c>
      <c r="E93" s="1">
        <f t="shared" si="20"/>
        <v>0.03</v>
      </c>
      <c r="F93" s="1">
        <f t="shared" si="21"/>
        <v>0.01</v>
      </c>
      <c r="G93" s="2">
        <f t="shared" si="22"/>
        <v>118.94648283870123</v>
      </c>
      <c r="H93" s="2">
        <f t="shared" si="23"/>
        <v>15.33288701990732</v>
      </c>
      <c r="I93" s="2">
        <f t="shared" si="24"/>
        <v>2.484322533384792</v>
      </c>
      <c r="J93" s="2">
        <f t="shared" si="25"/>
        <v>53.602842606465991</v>
      </c>
      <c r="K93" s="2">
        <f t="shared" si="26"/>
        <v>21.576442626165058</v>
      </c>
      <c r="L93" s="2">
        <f t="shared" si="27"/>
        <v>3.1226239809903906</v>
      </c>
      <c r="M93" s="2">
        <f t="shared" si="28"/>
        <v>4.0129344436614867E-2</v>
      </c>
      <c r="N93" s="1">
        <f t="shared" si="29"/>
        <v>0.04</v>
      </c>
      <c r="O93" s="1">
        <f t="shared" si="15"/>
        <v>3.1290369713070327</v>
      </c>
    </row>
    <row r="94" spans="1:15" x14ac:dyDescent="0.25">
      <c r="A94" s="1">
        <f t="shared" si="16"/>
        <v>92</v>
      </c>
      <c r="B94" s="1">
        <f t="shared" si="17"/>
        <v>0.3</v>
      </c>
      <c r="C94" s="1">
        <f t="shared" si="18"/>
        <v>0.2</v>
      </c>
      <c r="D94" s="1">
        <f t="shared" si="19"/>
        <v>0.05</v>
      </c>
      <c r="E94" s="1">
        <f t="shared" si="20"/>
        <v>0.03</v>
      </c>
      <c r="F94" s="1">
        <f t="shared" si="21"/>
        <v>0.01</v>
      </c>
      <c r="G94" s="2">
        <f t="shared" si="22"/>
        <v>123.81679486870418</v>
      </c>
      <c r="H94" s="2">
        <f t="shared" si="23"/>
        <v>15.799842948260526</v>
      </c>
      <c r="I94" s="2">
        <f t="shared" si="24"/>
        <v>2.5092903899362726</v>
      </c>
      <c r="J94" s="2">
        <f t="shared" si="25"/>
        <v>55.792581008133055</v>
      </c>
      <c r="K94" s="2">
        <f t="shared" si="26"/>
        <v>22.234405882991485</v>
      </c>
      <c r="L94" s="2">
        <f t="shared" si="27"/>
        <v>3.1230279011518216</v>
      </c>
      <c r="M94" s="2">
        <f t="shared" si="28"/>
        <v>4.012118439553497E-2</v>
      </c>
      <c r="N94" s="1">
        <f t="shared" si="29"/>
        <v>0.04</v>
      </c>
      <c r="O94" s="1">
        <f t="shared" si="15"/>
        <v>3.1290369713070327</v>
      </c>
    </row>
    <row r="95" spans="1:15" x14ac:dyDescent="0.25">
      <c r="A95" s="1">
        <f t="shared" si="16"/>
        <v>93</v>
      </c>
      <c r="B95" s="1">
        <f t="shared" si="17"/>
        <v>0.3</v>
      </c>
      <c r="C95" s="1">
        <f t="shared" si="18"/>
        <v>0.2</v>
      </c>
      <c r="D95" s="1">
        <f t="shared" si="19"/>
        <v>0.05</v>
      </c>
      <c r="E95" s="1">
        <f t="shared" si="20"/>
        <v>0.03</v>
      </c>
      <c r="F95" s="1">
        <f t="shared" si="21"/>
        <v>0.01</v>
      </c>
      <c r="G95" s="2">
        <f t="shared" si="22"/>
        <v>128.88547208699848</v>
      </c>
      <c r="H95" s="2">
        <f t="shared" si="23"/>
        <v>16.28101980178856</v>
      </c>
      <c r="I95" s="2">
        <f t="shared" si="24"/>
        <v>2.5345091776178292</v>
      </c>
      <c r="J95" s="2">
        <f t="shared" si="25"/>
        <v>58.07163060752594</v>
      </c>
      <c r="K95" s="2">
        <f t="shared" si="26"/>
        <v>22.912377323528627</v>
      </c>
      <c r="L95" s="2">
        <f t="shared" si="27"/>
        <v>3.123406386333047</v>
      </c>
      <c r="M95" s="2">
        <f t="shared" si="28"/>
        <v>4.0113539822901459E-2</v>
      </c>
      <c r="N95" s="1">
        <f t="shared" si="29"/>
        <v>0.04</v>
      </c>
      <c r="O95" s="1">
        <f t="shared" si="15"/>
        <v>3.1290369713070327</v>
      </c>
    </row>
    <row r="96" spans="1:15" x14ac:dyDescent="0.25">
      <c r="A96" s="1">
        <f t="shared" si="16"/>
        <v>94</v>
      </c>
      <c r="B96" s="1">
        <f t="shared" si="17"/>
        <v>0.3</v>
      </c>
      <c r="C96" s="1">
        <f t="shared" si="18"/>
        <v>0.2</v>
      </c>
      <c r="D96" s="1">
        <f t="shared" si="19"/>
        <v>0.05</v>
      </c>
      <c r="E96" s="1">
        <f t="shared" si="20"/>
        <v>0.03</v>
      </c>
      <c r="F96" s="1">
        <f t="shared" si="21"/>
        <v>0.01</v>
      </c>
      <c r="G96" s="2">
        <f t="shared" si="22"/>
        <v>134.16061969330156</v>
      </c>
      <c r="H96" s="2">
        <f t="shared" si="23"/>
        <v>16.776850672140011</v>
      </c>
      <c r="I96" s="2">
        <f t="shared" si="24"/>
        <v>2.5599814183292455</v>
      </c>
      <c r="J96" s="2">
        <f t="shared" si="25"/>
        <v>60.443637604142729</v>
      </c>
      <c r="K96" s="2">
        <f t="shared" si="26"/>
        <v>23.610967318501419</v>
      </c>
      <c r="L96" s="2">
        <f t="shared" si="27"/>
        <v>3.1237610374741336</v>
      </c>
      <c r="M96" s="2">
        <f t="shared" si="28"/>
        <v>4.0106378074758739E-2</v>
      </c>
      <c r="N96" s="1">
        <f t="shared" si="29"/>
        <v>0.04</v>
      </c>
      <c r="O96" s="1">
        <f t="shared" si="15"/>
        <v>3.1290369713070327</v>
      </c>
    </row>
    <row r="97" spans="1:15" x14ac:dyDescent="0.25">
      <c r="A97" s="1">
        <f t="shared" si="16"/>
        <v>95</v>
      </c>
      <c r="B97" s="1">
        <f t="shared" si="17"/>
        <v>0.3</v>
      </c>
      <c r="C97" s="1">
        <f t="shared" si="18"/>
        <v>0.2</v>
      </c>
      <c r="D97" s="1">
        <f t="shared" si="19"/>
        <v>0.05</v>
      </c>
      <c r="E97" s="1">
        <f t="shared" si="20"/>
        <v>0.03</v>
      </c>
      <c r="F97" s="1">
        <f t="shared" si="21"/>
        <v>0.01</v>
      </c>
      <c r="G97" s="2">
        <f t="shared" si="22"/>
        <v>139.65067342875778</v>
      </c>
      <c r="H97" s="2">
        <f t="shared" si="23"/>
        <v>17.287781840567781</v>
      </c>
      <c r="I97" s="2">
        <f t="shared" si="24"/>
        <v>2.5857096593158198</v>
      </c>
      <c r="J97" s="2">
        <f t="shared" si="25"/>
        <v>62.912396967635566</v>
      </c>
      <c r="K97" s="2">
        <f t="shared" si="26"/>
        <v>24.330804791239487</v>
      </c>
      <c r="L97" s="2">
        <f t="shared" si="27"/>
        <v>3.1240933548346335</v>
      </c>
      <c r="M97" s="2">
        <f t="shared" si="28"/>
        <v>4.0099668584455628E-2</v>
      </c>
      <c r="N97" s="1">
        <f t="shared" si="29"/>
        <v>0.04</v>
      </c>
      <c r="O97" s="1">
        <f t="shared" si="15"/>
        <v>3.1290369713070327</v>
      </c>
    </row>
    <row r="98" spans="1:15" x14ac:dyDescent="0.25">
      <c r="A98" s="1">
        <f t="shared" si="16"/>
        <v>96</v>
      </c>
      <c r="B98" s="1">
        <f t="shared" si="17"/>
        <v>0.3</v>
      </c>
      <c r="C98" s="1">
        <f t="shared" si="18"/>
        <v>0.2</v>
      </c>
      <c r="D98" s="1">
        <f t="shared" si="19"/>
        <v>0.05</v>
      </c>
      <c r="E98" s="1">
        <f t="shared" si="20"/>
        <v>0.03</v>
      </c>
      <c r="F98" s="1">
        <f t="shared" si="21"/>
        <v>0.01</v>
      </c>
      <c r="G98" s="2">
        <f t="shared" si="22"/>
        <v>145.36441307116635</v>
      </c>
      <c r="H98" s="2">
        <f t="shared" si="23"/>
        <v>17.814273179612346</v>
      </c>
      <c r="I98" s="2">
        <f t="shared" si="24"/>
        <v>2.6116964734230907</v>
      </c>
      <c r="J98" s="2">
        <f t="shared" si="25"/>
        <v>65.481858510155661</v>
      </c>
      <c r="K98" s="2">
        <f t="shared" si="26"/>
        <v>25.072537783967711</v>
      </c>
      <c r="L98" s="2">
        <f t="shared" si="27"/>
        <v>3.1244047443146341</v>
      </c>
      <c r="M98" s="2">
        <f t="shared" si="28"/>
        <v>4.0093382729234545E-2</v>
      </c>
      <c r="N98" s="1">
        <f t="shared" si="29"/>
        <v>0.04</v>
      </c>
      <c r="O98" s="1">
        <f t="shared" si="15"/>
        <v>3.1290369713070327</v>
      </c>
    </row>
    <row r="99" spans="1:15" x14ac:dyDescent="0.25">
      <c r="A99" s="1">
        <f t="shared" si="16"/>
        <v>97</v>
      </c>
      <c r="B99" s="1">
        <f t="shared" si="17"/>
        <v>0.3</v>
      </c>
      <c r="C99" s="1">
        <f t="shared" si="18"/>
        <v>0.2</v>
      </c>
      <c r="D99" s="1">
        <f t="shared" si="19"/>
        <v>0.05</v>
      </c>
      <c r="E99" s="1">
        <f t="shared" si="20"/>
        <v>0.03</v>
      </c>
      <c r="F99" s="1">
        <f t="shared" si="21"/>
        <v>0.01</v>
      </c>
      <c r="G99" s="2">
        <f t="shared" si="22"/>
        <v>151.31097648084912</v>
      </c>
      <c r="H99" s="2">
        <f t="shared" si="23"/>
        <v>18.356798567018078</v>
      </c>
      <c r="I99" s="2">
        <f t="shared" si="24"/>
        <v>2.637944459354125</v>
      </c>
      <c r="J99" s="2">
        <f t="shared" si="25"/>
        <v>68.15613320648616</v>
      </c>
      <c r="K99" s="2">
        <f t="shared" si="26"/>
        <v>25.836834041294988</v>
      </c>
      <c r="L99" s="2">
        <f t="shared" si="27"/>
        <v>3.1246965233802424</v>
      </c>
      <c r="M99" s="2">
        <f t="shared" si="28"/>
        <v>4.0087493705537575E-2</v>
      </c>
      <c r="N99" s="1">
        <f t="shared" si="29"/>
        <v>0.04</v>
      </c>
      <c r="O99" s="1">
        <f t="shared" si="15"/>
        <v>3.1290369713070327</v>
      </c>
    </row>
    <row r="100" spans="1:15" x14ac:dyDescent="0.25">
      <c r="A100" s="1">
        <f t="shared" si="16"/>
        <v>98</v>
      </c>
      <c r="B100" s="1">
        <f t="shared" si="17"/>
        <v>0.3</v>
      </c>
      <c r="C100" s="1">
        <f t="shared" si="18"/>
        <v>0.2</v>
      </c>
      <c r="D100" s="1">
        <f t="shared" si="19"/>
        <v>0.05</v>
      </c>
      <c r="E100" s="1">
        <f t="shared" si="20"/>
        <v>0.03</v>
      </c>
      <c r="F100" s="1">
        <f t="shared" si="21"/>
        <v>0.01</v>
      </c>
      <c r="G100" s="2">
        <f t="shared" si="22"/>
        <v>157.4998742196311</v>
      </c>
      <c r="H100" s="2">
        <f t="shared" si="23"/>
        <v>18.915846312255201</v>
      </c>
      <c r="I100" s="2">
        <f t="shared" si="24"/>
        <v>2.6644562419293889</v>
      </c>
      <c r="J100" s="2">
        <f t="shared" si="25"/>
        <v>70.939499772076474</v>
      </c>
      <c r="K100" s="2">
        <f t="shared" si="26"/>
        <v>26.624381611426912</v>
      </c>
      <c r="L100" s="2">
        <f t="shared" si="27"/>
        <v>3.1249699266181099</v>
      </c>
      <c r="M100" s="2">
        <f t="shared" si="28"/>
        <v>4.008197641244142E-2</v>
      </c>
      <c r="N100" s="1">
        <f t="shared" si="29"/>
        <v>0.04</v>
      </c>
      <c r="O100" s="1">
        <f t="shared" si="15"/>
        <v>3.1290369713070327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Vollrath, Dietrich E</dc:creator>
  <cp:lastModifiedBy>Vollrath, Dietrich E</cp:lastModifiedBy>
  <dcterms:created xsi:type="dcterms:W3CDTF">2026-02-18T17:08:47Z</dcterms:created>
  <dcterms:modified xsi:type="dcterms:W3CDTF">2026-02-23T16:58:05Z</dcterms:modified>
</cp:coreProperties>
</file>